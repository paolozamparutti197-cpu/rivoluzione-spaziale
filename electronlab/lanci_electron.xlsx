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elenco" sheetId="1" state="visible" r:id="rId1"/>
    <sheet xmlns:r="http://schemas.openxmlformats.org/officeDocument/2006/relationships" name="dashboard" sheetId="2" state="visible" r:id="rId2"/>
    <sheet xmlns:r="http://schemas.openxmlformats.org/officeDocument/2006/relationships" name="serie_annuale" sheetId="3" state="visible" r:id="rId3"/>
    <sheet xmlns:r="http://schemas.openxmlformats.org/officeDocument/2006/relationships" name="per_pad" sheetId="4" state="visible" r:id="rId4"/>
    <sheet xmlns:r="http://schemas.openxmlformats.org/officeDocument/2006/relationships" name="per_orbita" sheetId="5" state="visible" r:id="rId5"/>
    <sheet xmlns:r="http://schemas.openxmlformats.org/officeDocument/2006/relationships" name="legenda" sheetId="6" state="visible" r:id="rId6"/>
  </sheets>
  <definedNames>
    <definedName name="_xlnm._FilterDatabase" localSheetId="0" hidden="1">'elenco'!$A$1:$P$92</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10">
    <font>
      <name val="Calibri"/>
      <family val="2"/>
      <color theme="1"/>
      <sz val="11"/>
      <scheme val="minor"/>
    </font>
    <font>
      <b val="1"/>
      <color rgb="00FFFFFF"/>
    </font>
    <font>
      <b val="1"/>
      <color rgb="00990000"/>
    </font>
    <font>
      <name val="Calibri"/>
      <family val="2"/>
      <color theme="10"/>
      <sz val="12"/>
      <scheme val="minor"/>
    </font>
    <font>
      <b val="1"/>
      <color rgb="00274E13"/>
    </font>
    <font>
      <b val="1"/>
      <color rgb="00FFFFFF"/>
      <sz val="20"/>
    </font>
    <font>
      <i val="1"/>
      <color rgb="0040515C"/>
      <sz val="10"/>
    </font>
    <font>
      <b val="1"/>
      <color rgb="000B1F33"/>
      <sz val="17"/>
    </font>
    <font>
      <b val="1"/>
      <color rgb="000B1F33"/>
    </font>
    <font>
      <b val="1"/>
      <color rgb="000F4C5C"/>
    </font>
  </fonts>
  <fills count="9">
    <fill>
      <patternFill/>
    </fill>
    <fill>
      <patternFill patternType="gray125"/>
    </fill>
    <fill>
      <patternFill patternType="solid">
        <fgColor rgb="000F4C5C"/>
      </patternFill>
    </fill>
    <fill>
      <patternFill patternType="solid">
        <fgColor rgb="00F4CCCC"/>
      </patternFill>
    </fill>
    <fill>
      <patternFill patternType="solid">
        <fgColor rgb="00D9EAD3"/>
      </patternFill>
    </fill>
    <fill>
      <patternFill patternType="solid">
        <fgColor rgb="000B1F33"/>
      </patternFill>
    </fill>
    <fill>
      <patternFill patternType="solid">
        <fgColor rgb="00EAF2F5"/>
      </patternFill>
    </fill>
    <fill>
      <patternFill patternType="solid">
        <fgColor rgb="00F59E0B"/>
      </patternFill>
    </fill>
    <fill>
      <patternFill patternType="solid">
        <fgColor rgb="00FFF2CC"/>
      </patternFill>
    </fill>
  </fills>
  <borders count="2">
    <border>
      <left/>
      <right/>
      <top/>
      <bottom/>
      <diagonal/>
    </border>
    <border>
      <bottom style="thin">
        <color rgb="00C7D4DA"/>
      </bottom>
    </border>
  </borders>
  <cellStyleXfs count="2">
    <xf numFmtId="0" fontId="0" fillId="0" borderId="0"/>
    <xf numFmtId="0" fontId="3"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wrapText="1"/>
    </xf>
    <xf numFmtId="0" fontId="2" fillId="3" borderId="0" applyAlignment="1" pivotButton="0" quotePrefix="0" xfId="0">
      <alignment vertical="top"/>
    </xf>
    <xf numFmtId="0" fontId="3" fillId="0" borderId="0" pivotButton="0" quotePrefix="0" xfId="1"/>
    <xf numFmtId="0" fontId="4" fillId="4" borderId="0" applyAlignment="1" pivotButton="0" quotePrefix="0" xfId="0">
      <alignment vertical="top"/>
    </xf>
    <xf numFmtId="0" fontId="5" fillId="5" borderId="0" applyAlignment="1" pivotButton="0" quotePrefix="0" xfId="0">
      <alignment vertical="center"/>
    </xf>
    <xf numFmtId="0" fontId="6" fillId="6" borderId="0" pivotButton="0" quotePrefix="0" xfId="0"/>
    <xf numFmtId="0" fontId="1" fillId="2" borderId="0" applyAlignment="1" pivotButton="0" quotePrefix="0" xfId="0">
      <alignment horizontal="center"/>
    </xf>
    <xf numFmtId="0" fontId="7" fillId="6" borderId="0" applyAlignment="1" pivotButton="0" quotePrefix="0" xfId="0">
      <alignment horizontal="center"/>
    </xf>
    <xf numFmtId="166" fontId="7" fillId="6" borderId="0" applyAlignment="1" pivotButton="0" quotePrefix="0" xfId="0">
      <alignment horizontal="center"/>
    </xf>
    <xf numFmtId="165" fontId="7" fillId="6" borderId="0" applyAlignment="1" pivotButton="0" quotePrefix="0" xfId="0">
      <alignment horizontal="center"/>
    </xf>
    <xf numFmtId="0" fontId="1" fillId="7" borderId="0" pivotButton="0" quotePrefix="0" xfId="0"/>
    <xf numFmtId="0" fontId="8" fillId="8" borderId="0" pivotButton="0" quotePrefix="0" xfId="0"/>
    <xf numFmtId="166" fontId="0" fillId="0" borderId="0" pivotButton="0" quotePrefix="0" xfId="0"/>
    <xf numFmtId="165" fontId="0" fillId="0" borderId="0" pivotButton="0" quotePrefix="0" xfId="0"/>
    <xf numFmtId="0" fontId="9"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Lanci Electron per anno</a:t>
            </a:r>
          </a:p>
        </rich>
      </tx>
    </title>
    <plotArea>
      <barChart>
        <barDir val="col"/>
        <grouping val="clustered"/>
        <ser>
          <idx val="0"/>
          <order val="0"/>
          <tx>
            <strRef>
              <f>'serie_annuale'!B4</f>
            </strRef>
          </tx>
          <spPr>
            <a:ln xmlns:a="http://schemas.openxmlformats.org/drawingml/2006/main">
              <a:prstDash val="solid"/>
            </a:ln>
          </spPr>
          <cat>
            <numRef>
              <f>'serie_annuale'!$A$5:$A$14</f>
            </numRef>
          </cat>
          <val>
            <numRef>
              <f>'serie_annuale'!$B$5:$B$14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Lanci</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Orbite Electron</a:t>
            </a:r>
          </a:p>
        </rich>
      </tx>
    </title>
    <plotArea>
      <pieChart>
        <varyColors val="1"/>
        <ser>
          <idx val="0"/>
          <order val="0"/>
          <tx>
            <strRef>
              <f>'per_orbita'!B4</f>
            </strRef>
          </tx>
          <spPr>
            <a:ln xmlns:a="http://schemas.openxmlformats.org/drawingml/2006/main">
              <a:prstDash val="solid"/>
            </a:ln>
          </spPr>
          <cat>
            <numRef>
              <f>'per_orbita'!$A$5:$A$9</f>
            </numRef>
          </cat>
          <val>
            <numRef>
              <f>'per_orbita'!$B$5:$B$9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6</col>
      <colOff>0</colOff>
      <row>3</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3</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StoricoElectron" displayName="StoricoElectron" ref="A1:P92" headerRowCount="1">
  <autoFilter ref="A1:P92"/>
  <tableColumns count="16">
    <tableColumn id="1" name="nr"/>
    <tableColumn id="2" name="data"/>
    <tableColumn id="3" name="ora UTC"/>
    <tableColumn id="4" name="anno"/>
    <tableColumn id="5" name="missione"/>
    <tableColumn id="6" name="stato"/>
    <tableColumn id="7" name="tipo missione"/>
    <tableColumn id="8" name="orbita"/>
    <tableColumn id="9" name="cliente"/>
    <tableColumn id="10" name="pad"/>
    <tableColumn id="11" name="localita"/>
    <tableColumn id="12" name="descrizione"/>
    <tableColumn id="13" name="causa fallimento"/>
    <tableColumn id="14" name="video"/>
    <tableColumn id="15" name="fonte LL2"/>
    <tableColumn id="16" name="id Launch Library 2"/>
  </tableColumns>
  <tableStyleInfo name="TableStyleMedium2" showFirstColumn="0" showLastColumn="0" showRowStripes="1" showColumnStripes="0"/>
</table>
</file>

<file path=xl/tables/table2.xml><?xml version="1.0" encoding="utf-8"?>
<table xmlns="http://schemas.openxmlformats.org/spreadsheetml/2006/main" id="2" name="SerieAnnualeElectron" displayName="SerieAnnualeElectron" ref="A4:E14" headerRowCount="1">
  <autoFilter ref="A4:E14"/>
  <tableColumns count="5">
    <tableColumn id="1" name="anno"/>
    <tableColumn id="2" name="lanci"/>
    <tableColumn id="3" name="successi"/>
    <tableColumn id="4" name="fallimenti"/>
    <tableColumn id="5" name="tasso successo"/>
  </tableColumns>
  <tableStyleInfo name="TableStyleMedium2" showFirstColumn="0" showLastColumn="0" showRowStripes="1" showColumnStripes="0"/>
</table>
</file>

<file path=xl/tables/table3.xml><?xml version="1.0" encoding="utf-8"?>
<table xmlns="http://schemas.openxmlformats.org/spreadsheetml/2006/main" id="3" name="PadElectron" displayName="PadElectron" ref="A4:D7" headerRowCount="1">
  <autoFilter ref="A4:D7"/>
  <tableColumns count="4">
    <tableColumn id="1" name="pad"/>
    <tableColumn id="2" name="lanci"/>
    <tableColumn id="3" name="quota"/>
    <tableColumn id="4" name="ultimo utilizzo"/>
  </tableColumns>
  <tableStyleInfo name="TableStyleMedium2" showFirstColumn="0" showLastColumn="0" showRowStripes="1" showColumnStripes="0"/>
</table>
</file>

<file path=xl/tables/table4.xml><?xml version="1.0" encoding="utf-8"?>
<table xmlns="http://schemas.openxmlformats.org/spreadsheetml/2006/main" id="4" name="OrbiteElectron" displayName="OrbiteElectron" ref="A4:C9" headerRowCount="1">
  <autoFilter ref="A4:C9"/>
  <tableColumns count="3">
    <tableColumn id="1" name="orbita"/>
    <tableColumn id="2" name="lanci"/>
    <tableColumn id="3" name="quo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P7YmRKuJSvU" TargetMode="External" Id="rId1"/><Relationship Type="http://schemas.openxmlformats.org/officeDocument/2006/relationships/hyperlink" Target="https://ll.thespacedevs.com/2.3.0/launches/f8e04552-1dfa-4607-8bba-969b2988c598/?format=json" TargetMode="External" Id="rId2"/><Relationship Type="http://schemas.openxmlformats.org/officeDocument/2006/relationships/hyperlink" Target="https://www.youtube.com/watch?v=eg5234BOED8" TargetMode="External" Id="rId3"/><Relationship Type="http://schemas.openxmlformats.org/officeDocument/2006/relationships/hyperlink" Target="https://ll.thespacedevs.com/2.3.0/launches/e958506b-6dbb-4a32-91dc-ed94457df931/?format=json" TargetMode="External" Id="rId4"/><Relationship Type="http://schemas.openxmlformats.org/officeDocument/2006/relationships/hyperlink" Target="https://www.youtube.com/watch?v=sPwMuUxSrcA" TargetMode="External" Id="rId5"/><Relationship Type="http://schemas.openxmlformats.org/officeDocument/2006/relationships/hyperlink" Target="https://ll.thespacedevs.com/2.3.0/launches/b29bfc4f-2819-4ebf-9887-4b1295171157/?format=json" TargetMode="External" Id="rId6"/><Relationship Type="http://schemas.openxmlformats.org/officeDocument/2006/relationships/hyperlink" Target="https://www.youtube.com/watch?v=F7Kr3664hJs" TargetMode="External" Id="rId7"/><Relationship Type="http://schemas.openxmlformats.org/officeDocument/2006/relationships/hyperlink" Target="https://ll.thespacedevs.com/2.3.0/launches/5cff7134-74a0-490a-8333-507d514c90c5/?format=json" TargetMode="External" Id="rId8"/><Relationship Type="http://schemas.openxmlformats.org/officeDocument/2006/relationships/hyperlink" Target="https://www.youtube.com/watch?v=TGhlWMJtDEI" TargetMode="External" Id="rId9"/><Relationship Type="http://schemas.openxmlformats.org/officeDocument/2006/relationships/hyperlink" Target="https://ll.thespacedevs.com/2.3.0/launches/9cde3d74-d84d-45b2-b4a9-81509fbb039a/?format=json" TargetMode="External" Id="rId10"/><Relationship Type="http://schemas.openxmlformats.org/officeDocument/2006/relationships/hyperlink" Target="https://www.youtube.com/watch?v=ahVDVWq_Ei4" TargetMode="External" Id="rId11"/><Relationship Type="http://schemas.openxmlformats.org/officeDocument/2006/relationships/hyperlink" Target="https://ll.thespacedevs.com/2.3.0/launches/498c278b-7c41-4591-ac43-f8edb97a968d/?format=json" TargetMode="External" Id="rId12"/><Relationship Type="http://schemas.openxmlformats.org/officeDocument/2006/relationships/hyperlink" Target="https://www.youtube.com/watch?v=idKCy8LdyKo" TargetMode="External" Id="rId13"/><Relationship Type="http://schemas.openxmlformats.org/officeDocument/2006/relationships/hyperlink" Target="https://ll.thespacedevs.com/2.3.0/launches/18be1907-430c-453d-8740-0a97e9f63dcc/?format=json" TargetMode="External" Id="rId14"/><Relationship Type="http://schemas.openxmlformats.org/officeDocument/2006/relationships/hyperlink" Target="https://www.youtube.com/watch?v=j2XZgrvYf_M" TargetMode="External" Id="rId15"/><Relationship Type="http://schemas.openxmlformats.org/officeDocument/2006/relationships/hyperlink" Target="https://ll.thespacedevs.com/2.3.0/launches/7044005c-fc8a-4a9c-8f9c-8c9093616fe7/?format=json" TargetMode="External" Id="rId16"/><Relationship Type="http://schemas.openxmlformats.org/officeDocument/2006/relationships/hyperlink" Target="https://www.youtube.com/watch?v=gI_Ng4SGyUY" TargetMode="External" Id="rId17"/><Relationship Type="http://schemas.openxmlformats.org/officeDocument/2006/relationships/hyperlink" Target="https://ll.thespacedevs.com/2.3.0/launches/d8103fa8-0a7b-4fcd-89db-03d0c877fa16/?format=json" TargetMode="External" Id="rId18"/><Relationship Type="http://schemas.openxmlformats.org/officeDocument/2006/relationships/hyperlink" Target="https://www.youtube.com/watch?v=QK9mQdar5_w" TargetMode="External" Id="rId19"/><Relationship Type="http://schemas.openxmlformats.org/officeDocument/2006/relationships/hyperlink" Target="https://ll.thespacedevs.com/2.3.0/launches/1aa0edb9-3743-4084-bf79-138c1ba32e4a/?format=json" TargetMode="External" Id="rId20"/><Relationship Type="http://schemas.openxmlformats.org/officeDocument/2006/relationships/hyperlink" Target="https://www.youtube.com/watch?v=af-PplDIkbc" TargetMode="External" Id="rId21"/><Relationship Type="http://schemas.openxmlformats.org/officeDocument/2006/relationships/hyperlink" Target="https://ll.thespacedevs.com/2.3.0/launches/39a2cd8d-2dcb-45bd-8a54-6f881bd94808/?format=json" TargetMode="External" Id="rId22"/><Relationship Type="http://schemas.openxmlformats.org/officeDocument/2006/relationships/hyperlink" Target="https://www.youtube.com/watch?v=VRfm6RGVHf8" TargetMode="External" Id="rId23"/><Relationship Type="http://schemas.openxmlformats.org/officeDocument/2006/relationships/hyperlink" Target="https://ll.thespacedevs.com/2.3.0/launches/cc431873-0d35-491b-ae3e-360dc1a27846/?format=json" TargetMode="External" Id="rId24"/><Relationship Type="http://schemas.openxmlformats.org/officeDocument/2006/relationships/hyperlink" Target="https://www.youtube.com/watch?v=5ZcZoDFYjXc" TargetMode="External" Id="rId25"/><Relationship Type="http://schemas.openxmlformats.org/officeDocument/2006/relationships/hyperlink" Target="https://ll.thespacedevs.com/2.3.0/launches/e39e845d-91d5-4efd-b9c9-d8981d3505a2/?format=json" TargetMode="External" Id="rId26"/><Relationship Type="http://schemas.openxmlformats.org/officeDocument/2006/relationships/hyperlink" Target="https://www.youtube.com/watch?v=FPIhI5mRDRI" TargetMode="External" Id="rId27"/><Relationship Type="http://schemas.openxmlformats.org/officeDocument/2006/relationships/hyperlink" Target="https://ll.thespacedevs.com/2.3.0/launches/a9526278-ef96-48ba-abbd-275f1370d6c0/?format=json" TargetMode="External" Id="rId28"/><Relationship Type="http://schemas.openxmlformats.org/officeDocument/2006/relationships/hyperlink" Target="https://www.youtube.com/watch?v=axXm-z2NzW8" TargetMode="External" Id="rId29"/><Relationship Type="http://schemas.openxmlformats.org/officeDocument/2006/relationships/hyperlink" Target="https://ll.thespacedevs.com/2.3.0/launches/c183a50f-fcc0-4cdc-8fa1-750d67ca5130/?format=json" TargetMode="External" Id="rId30"/><Relationship Type="http://schemas.openxmlformats.org/officeDocument/2006/relationships/hyperlink" Target="https://www.youtube.com/watch?v=eZGI_lHGltA" TargetMode="External" Id="rId31"/><Relationship Type="http://schemas.openxmlformats.org/officeDocument/2006/relationships/hyperlink" Target="https://ll.thespacedevs.com/2.3.0/launches/1514d38c-b1ed-4a4a-9878-04646f0b6b94/?format=json" TargetMode="External" Id="rId32"/><Relationship Type="http://schemas.openxmlformats.org/officeDocument/2006/relationships/hyperlink" Target="https://www.youtube.com/watch?v=vU4PBX_SQWU" TargetMode="External" Id="rId33"/><Relationship Type="http://schemas.openxmlformats.org/officeDocument/2006/relationships/hyperlink" Target="https://ll.thespacedevs.com/2.3.0/launches/3277ea9a-9ce3-4e96-9d2a-dfd15155ea61/?format=json" TargetMode="External" Id="rId34"/><Relationship Type="http://schemas.openxmlformats.org/officeDocument/2006/relationships/hyperlink" Target="https://www.youtube.com/watch?v=hdiL29s1PmE" TargetMode="External" Id="rId35"/><Relationship Type="http://schemas.openxmlformats.org/officeDocument/2006/relationships/hyperlink" Target="https://ll.thespacedevs.com/2.3.0/launches/68e50165-a929-424a-ab8b-ec7a1ae7465e/?format=json" TargetMode="External" Id="rId36"/><Relationship Type="http://schemas.openxmlformats.org/officeDocument/2006/relationships/hyperlink" Target="https://www.youtube.com/watch?v=u5wmrGriVX0" TargetMode="External" Id="rId37"/><Relationship Type="http://schemas.openxmlformats.org/officeDocument/2006/relationships/hyperlink" Target="https://ll.thespacedevs.com/2.3.0/launches/dff2b6dc-933a-42b4-8d74-db543ada94bb/?format=json" TargetMode="External" Id="rId38"/><Relationship Type="http://schemas.openxmlformats.org/officeDocument/2006/relationships/hyperlink" Target="https://www.youtube.com/watch?v=tpMDvYhNEvo" TargetMode="External" Id="rId39"/><Relationship Type="http://schemas.openxmlformats.org/officeDocument/2006/relationships/hyperlink" Target="https://ll.thespacedevs.com/2.3.0/launches/0c2347a5-73f1-462c-91f7-8aa8b917ab0d/?format=json" TargetMode="External" Id="rId40"/><Relationship Type="http://schemas.openxmlformats.org/officeDocument/2006/relationships/hyperlink" Target="https://www.youtube.com/watch?v=XEAKezzYi4Q" TargetMode="External" Id="rId41"/><Relationship Type="http://schemas.openxmlformats.org/officeDocument/2006/relationships/hyperlink" Target="https://ll.thespacedevs.com/2.3.0/launches/120c53d4-d3a1-42fe-b2a5-a63e3b11d72b/?format=json" TargetMode="External" Id="rId42"/><Relationship Type="http://schemas.openxmlformats.org/officeDocument/2006/relationships/hyperlink" Target="https://www.youtube.com/watch?v=pEIJKuDio8I" TargetMode="External" Id="rId43"/><Relationship Type="http://schemas.openxmlformats.org/officeDocument/2006/relationships/hyperlink" Target="https://ll.thespacedevs.com/2.3.0/launches/3985e602-f22f-441f-a0b1-a450ea459da9/?format=json" TargetMode="External" Id="rId44"/><Relationship Type="http://schemas.openxmlformats.org/officeDocument/2006/relationships/hyperlink" Target="https://www.youtube.com/watch?v=lsER2WVK1t8" TargetMode="External" Id="rId45"/><Relationship Type="http://schemas.openxmlformats.org/officeDocument/2006/relationships/hyperlink" Target="https://ll.thespacedevs.com/2.3.0/launches/029615cc-ef67-4a1e-b98e-08bdbfb3ae7e/?format=json" TargetMode="External" Id="rId46"/><Relationship Type="http://schemas.openxmlformats.org/officeDocument/2006/relationships/hyperlink" Target="https://www.youtube.com/watch?v=hJGBizdx2pE" TargetMode="External" Id="rId47"/><Relationship Type="http://schemas.openxmlformats.org/officeDocument/2006/relationships/hyperlink" Target="https://ll.thespacedevs.com/2.3.0/launches/1e5862a8-2ede-4e87-ac45-69422590ab9b/?format=json" TargetMode="External" Id="rId48"/><Relationship Type="http://schemas.openxmlformats.org/officeDocument/2006/relationships/hyperlink" Target="https://www.youtube.com/watch?v=prV1YD6mVE4" TargetMode="External" Id="rId49"/><Relationship Type="http://schemas.openxmlformats.org/officeDocument/2006/relationships/hyperlink" Target="https://ll.thespacedevs.com/2.3.0/launches/d1976b9e-46e5-41d2-9d0d-aa76f6c19ef8/?format=json" TargetMode="External" Id="rId50"/><Relationship Type="http://schemas.openxmlformats.org/officeDocument/2006/relationships/hyperlink" Target="https://www.youtube.com/watch?v=K7vb5btFqy4" TargetMode="External" Id="rId51"/><Relationship Type="http://schemas.openxmlformats.org/officeDocument/2006/relationships/hyperlink" Target="https://ll.thespacedevs.com/2.3.0/launches/5e915de9-f574-433b-bf39-d90b616c0e8b/?format=json" TargetMode="External" Id="rId52"/><Relationship Type="http://schemas.openxmlformats.org/officeDocument/2006/relationships/hyperlink" Target="https://www.youtube.com/watch?v=JGx400xCDVY" TargetMode="External" Id="rId53"/><Relationship Type="http://schemas.openxmlformats.org/officeDocument/2006/relationships/hyperlink" Target="https://ll.thespacedevs.com/2.3.0/launches/859bf952-b4c6-40fb-a7e7-ac12efc386b2/?format=json" TargetMode="External" Id="rId54"/><Relationship Type="http://schemas.openxmlformats.org/officeDocument/2006/relationships/hyperlink" Target="https://www.youtube.com/watch?v=f6Nphz4f9oY" TargetMode="External" Id="rId55"/><Relationship Type="http://schemas.openxmlformats.org/officeDocument/2006/relationships/hyperlink" Target="https://ll.thespacedevs.com/2.3.0/launches/6e99b22c-1a27-428c-96f3-c868b8b53cfe/?format=json" TargetMode="External" Id="rId56"/><Relationship Type="http://schemas.openxmlformats.org/officeDocument/2006/relationships/hyperlink" Target="https://www.youtube.com/watch?v=ij94xGiXB5Q" TargetMode="External" Id="rId57"/><Relationship Type="http://schemas.openxmlformats.org/officeDocument/2006/relationships/hyperlink" Target="https://ll.thespacedevs.com/2.3.0/launches/a665afda-9e5d-478c-b185-3e7883846d78/?format=json" TargetMode="External" Id="rId58"/><Relationship Type="http://schemas.openxmlformats.org/officeDocument/2006/relationships/hyperlink" Target="https://www.youtube.com/watch?v=I9aYHnHaFAk" TargetMode="External" Id="rId59"/><Relationship Type="http://schemas.openxmlformats.org/officeDocument/2006/relationships/hyperlink" Target="https://ll.thespacedevs.com/2.3.0/launches/36bf2bad-839f-4aa6-9726-634be33e57aa/?format=json" TargetMode="External" Id="rId60"/><Relationship Type="http://schemas.openxmlformats.org/officeDocument/2006/relationships/hyperlink" Target="https://www.youtube.com/watch?v=TffmQR1K04M" TargetMode="External" Id="rId61"/><Relationship Type="http://schemas.openxmlformats.org/officeDocument/2006/relationships/hyperlink" Target="https://ll.thespacedevs.com/2.3.0/launches/339e0c8c-3f24-45ef-9542-e2e26bde7869/?format=json" TargetMode="External" Id="rId62"/><Relationship Type="http://schemas.openxmlformats.org/officeDocument/2006/relationships/hyperlink" Target="https://www.youtube.com/watch?v=PVTwEn9GdsA" TargetMode="External" Id="rId63"/><Relationship Type="http://schemas.openxmlformats.org/officeDocument/2006/relationships/hyperlink" Target="https://ll.thespacedevs.com/2.3.0/launches/fe5dfe98-f541-4ed9-a98a-d19d5da7c983/?format=json" TargetMode="External" Id="rId64"/><Relationship Type="http://schemas.openxmlformats.org/officeDocument/2006/relationships/hyperlink" Target="https://www.youtube.com/watch?v=y8XAKyLndD8" TargetMode="External" Id="rId65"/><Relationship Type="http://schemas.openxmlformats.org/officeDocument/2006/relationships/hyperlink" Target="https://ll.thespacedevs.com/2.3.0/launches/32a2e219-e8d3-4369-822c-3e5d33941253/?format=json" TargetMode="External" Id="rId66"/><Relationship Type="http://schemas.openxmlformats.org/officeDocument/2006/relationships/hyperlink" Target="https://www.youtube.com/watch?v=xIMaf8X0FlM" TargetMode="External" Id="rId67"/><Relationship Type="http://schemas.openxmlformats.org/officeDocument/2006/relationships/hyperlink" Target="https://ll.thespacedevs.com/2.3.0/launches/60ee4dbe-680d-40f5-8831-dadb325c7677/?format=json" TargetMode="External" Id="rId68"/><Relationship Type="http://schemas.openxmlformats.org/officeDocument/2006/relationships/hyperlink" Target="https://www.youtube.com/watch?v=rvPcY3SrgAs" TargetMode="External" Id="rId69"/><Relationship Type="http://schemas.openxmlformats.org/officeDocument/2006/relationships/hyperlink" Target="https://ll.thespacedevs.com/2.3.0/launches/8089a091-9b40-45d4-b68d-322b49a2bcba/?format=json" TargetMode="External" Id="rId70"/><Relationship Type="http://schemas.openxmlformats.org/officeDocument/2006/relationships/hyperlink" Target="https://www.youtube.com/watch?v=N3prw-94wQc" TargetMode="External" Id="rId71"/><Relationship Type="http://schemas.openxmlformats.org/officeDocument/2006/relationships/hyperlink" Target="https://ll.thespacedevs.com/2.3.0/launches/e870fe28-c5d5-4c3d-be4f-aaddd061ea18/?format=json" TargetMode="External" Id="rId72"/><Relationship Type="http://schemas.openxmlformats.org/officeDocument/2006/relationships/hyperlink" Target="https://www.youtube.com/watch?v=rmYmgfMr2a8" TargetMode="External" Id="rId73"/><Relationship Type="http://schemas.openxmlformats.org/officeDocument/2006/relationships/hyperlink" Target="https://ll.thespacedevs.com/2.3.0/launches/4f77007c-9bb3-4bf4-bab3-937e65f75c45/?format=json" TargetMode="External" Id="rId74"/><Relationship Type="http://schemas.openxmlformats.org/officeDocument/2006/relationships/hyperlink" Target="https://ll.thespacedevs.com/2.3.0/launches/2ec7425b-743d-4c52-8712-a19b1fbd0a9e/?format=json" TargetMode="External" Id="rId75"/><Relationship Type="http://schemas.openxmlformats.org/officeDocument/2006/relationships/hyperlink" Target="https://www.youtube.com/watch?v=AA6WI05yKHM" TargetMode="External" Id="rId76"/><Relationship Type="http://schemas.openxmlformats.org/officeDocument/2006/relationships/hyperlink" Target="https://ll.thespacedevs.com/2.3.0/launches/e2651bb4-c42c-4fd8-b11a-bf7df7036c89/?format=json" TargetMode="External" Id="rId77"/><Relationship Type="http://schemas.openxmlformats.org/officeDocument/2006/relationships/hyperlink" Target="https://www.youtube.com/watch?v=-k2RZO9ghnc" TargetMode="External" Id="rId78"/><Relationship Type="http://schemas.openxmlformats.org/officeDocument/2006/relationships/hyperlink" Target="https://ll.thespacedevs.com/2.3.0/launches/7975274c-81c5-48a5-82e1-9b8d982cd533/?format=json" TargetMode="External" Id="rId79"/><Relationship Type="http://schemas.openxmlformats.org/officeDocument/2006/relationships/hyperlink" Target="https://www.youtube.com/watch?v=AfYFqsk_NGk" TargetMode="External" Id="rId80"/><Relationship Type="http://schemas.openxmlformats.org/officeDocument/2006/relationships/hyperlink" Target="https://ll.thespacedevs.com/2.3.0/launches/08f52ca7-9aba-41d1-a5c7-092cab7aca92/?format=json" TargetMode="External" Id="rId81"/><Relationship Type="http://schemas.openxmlformats.org/officeDocument/2006/relationships/hyperlink" Target="https://www.youtube.com/watch?v=iLwTLqaCnQ8" TargetMode="External" Id="rId82"/><Relationship Type="http://schemas.openxmlformats.org/officeDocument/2006/relationships/hyperlink" Target="https://ll.thespacedevs.com/2.3.0/launches/2918b5f6-1340-4c73-bb75-4f9b5e16999f/?format=json" TargetMode="External" Id="rId83"/><Relationship Type="http://schemas.openxmlformats.org/officeDocument/2006/relationships/hyperlink" Target="https://www.youtube.com/watch?v=NDyxRPGWhRo" TargetMode="External" Id="rId84"/><Relationship Type="http://schemas.openxmlformats.org/officeDocument/2006/relationships/hyperlink" Target="https://ll.thespacedevs.com/2.3.0/launches/89f9600b-b250-4b0f-a713-99b123bb58d8/?format=json" TargetMode="External" Id="rId85"/><Relationship Type="http://schemas.openxmlformats.org/officeDocument/2006/relationships/hyperlink" Target="https://www.youtube.com/watch?v=dcuZMP1m_g8" TargetMode="External" Id="rId86"/><Relationship Type="http://schemas.openxmlformats.org/officeDocument/2006/relationships/hyperlink" Target="https://ll.thespacedevs.com/2.3.0/launches/3d959fa3-5a10-4b54-a603-4cfc7c414fb2/?format=json" TargetMode="External" Id="rId87"/><Relationship Type="http://schemas.openxmlformats.org/officeDocument/2006/relationships/hyperlink" Target="https://www.youtube.com/watch?v=GF9cWWkSlsQ" TargetMode="External" Id="rId88"/><Relationship Type="http://schemas.openxmlformats.org/officeDocument/2006/relationships/hyperlink" Target="https://ll.thespacedevs.com/2.3.0/launches/c16c61fb-fd2c-482b-8904-bc3db306d747/?format=json" TargetMode="External" Id="rId89"/><Relationship Type="http://schemas.openxmlformats.org/officeDocument/2006/relationships/hyperlink" Target="https://www.youtube.com/watch?v=Coa3GZtotQo" TargetMode="External" Id="rId90"/><Relationship Type="http://schemas.openxmlformats.org/officeDocument/2006/relationships/hyperlink" Target="https://ll.thespacedevs.com/2.3.0/launches/7f854a08-ea51-4470-9b80-84fb2252c9fe/?format=json" TargetMode="External" Id="rId91"/><Relationship Type="http://schemas.openxmlformats.org/officeDocument/2006/relationships/hyperlink" Target="https://www.youtube.com/watch?v=9izutzETw1U" TargetMode="External" Id="rId92"/><Relationship Type="http://schemas.openxmlformats.org/officeDocument/2006/relationships/hyperlink" Target="https://ll.thespacedevs.com/2.3.0/launches/607135c8-8090-4f5e-8bd3-d69bef2f2618/?format=json" TargetMode="External" Id="rId93"/><Relationship Type="http://schemas.openxmlformats.org/officeDocument/2006/relationships/hyperlink" Target="https://www.youtube.com/watch?v=m7nYAJ4dZP4" TargetMode="External" Id="rId94"/><Relationship Type="http://schemas.openxmlformats.org/officeDocument/2006/relationships/hyperlink" Target="https://ll.thespacedevs.com/2.3.0/launches/1369f2f0-98db-4b34-b44e-47ddf0628b43/?format=json" TargetMode="External" Id="rId95"/><Relationship Type="http://schemas.openxmlformats.org/officeDocument/2006/relationships/hyperlink" Target="https://www.youtube.com/watch?v=qBBhzkNzcYQ" TargetMode="External" Id="rId96"/><Relationship Type="http://schemas.openxmlformats.org/officeDocument/2006/relationships/hyperlink" Target="https://ll.thespacedevs.com/2.3.0/launches/0bcda9f1-a347-408d-88cd-b8b5bd6fffc2/?format=json" TargetMode="External" Id="rId97"/><Relationship Type="http://schemas.openxmlformats.org/officeDocument/2006/relationships/hyperlink" Target="https://www.youtube.com/watch?v=MYpQkHw9s1I" TargetMode="External" Id="rId98"/><Relationship Type="http://schemas.openxmlformats.org/officeDocument/2006/relationships/hyperlink" Target="https://ll.thespacedevs.com/2.3.0/launches/1d6c8ff3-aa61-4ecc-8f79-355bba274868/?format=json" TargetMode="External" Id="rId99"/><Relationship Type="http://schemas.openxmlformats.org/officeDocument/2006/relationships/hyperlink" Target="https://www.youtube.com/watch?v=ZdikUDvKYmc" TargetMode="External" Id="rId100"/><Relationship Type="http://schemas.openxmlformats.org/officeDocument/2006/relationships/hyperlink" Target="https://ll.thespacedevs.com/2.3.0/launches/8db4129c-513e-4258-bbde-c66f63c0c7ee/?format=json" TargetMode="External" Id="rId101"/><Relationship Type="http://schemas.openxmlformats.org/officeDocument/2006/relationships/hyperlink" Target="https://www.youtube.com/watch?v=wFH0ZS2GHd8" TargetMode="External" Id="rId102"/><Relationship Type="http://schemas.openxmlformats.org/officeDocument/2006/relationships/hyperlink" Target="https://ll.thespacedevs.com/2.3.0/launches/848b8e10-e5a4-4e46-9896-0c2299360588/?format=json" TargetMode="External" Id="rId103"/><Relationship Type="http://schemas.openxmlformats.org/officeDocument/2006/relationships/hyperlink" Target="https://www.youtube.com/watch?v=beVTGh_PrA0" TargetMode="External" Id="rId104"/><Relationship Type="http://schemas.openxmlformats.org/officeDocument/2006/relationships/hyperlink" Target="https://ll.thespacedevs.com/2.3.0/launches/1fae2781-87aa-4a0a-a023-af689a9c5d79/?format=json" TargetMode="External" Id="rId105"/><Relationship Type="http://schemas.openxmlformats.org/officeDocument/2006/relationships/hyperlink" Target="https://www.youtube.com/watch?v=Pku19e-MHis" TargetMode="External" Id="rId106"/><Relationship Type="http://schemas.openxmlformats.org/officeDocument/2006/relationships/hyperlink" Target="https://ll.thespacedevs.com/2.3.0/launches/3dfcd148-b684-447a-acde-e6195dbd12f1/?format=json" TargetMode="External" Id="rId107"/><Relationship Type="http://schemas.openxmlformats.org/officeDocument/2006/relationships/hyperlink" Target="https://www.youtube.com/watch?v=1dBfpv9TIdw" TargetMode="External" Id="rId108"/><Relationship Type="http://schemas.openxmlformats.org/officeDocument/2006/relationships/hyperlink" Target="https://ll.thespacedevs.com/2.3.0/launches/f82304b2-5f3c-4753-b8ee-aee69323f7fb/?format=json" TargetMode="External" Id="rId109"/><Relationship Type="http://schemas.openxmlformats.org/officeDocument/2006/relationships/hyperlink" Target="https://www.youtube.com/watch?v=i081vyh3WO0" TargetMode="External" Id="rId110"/><Relationship Type="http://schemas.openxmlformats.org/officeDocument/2006/relationships/hyperlink" Target="https://ll.thespacedevs.com/2.3.0/launches/5d63efa7-7cb4-4a00-ad96-9929cf027041/?format=json" TargetMode="External" Id="rId111"/><Relationship Type="http://schemas.openxmlformats.org/officeDocument/2006/relationships/hyperlink" Target="https://ll.thespacedevs.com/2.3.0/launches/0fcf4d4c-6400-4587-b7a3-341e8e87c36e/?format=json" TargetMode="External" Id="rId112"/><Relationship Type="http://schemas.openxmlformats.org/officeDocument/2006/relationships/hyperlink" Target="https://www.youtube.com/watch?v=-7VZB4pHJrQ" TargetMode="External" Id="rId113"/><Relationship Type="http://schemas.openxmlformats.org/officeDocument/2006/relationships/hyperlink" Target="https://ll.thespacedevs.com/2.3.0/launches/af1466bb-289b-40b3-b83c-102b3a7af047/?format=json" TargetMode="External" Id="rId114"/><Relationship Type="http://schemas.openxmlformats.org/officeDocument/2006/relationships/hyperlink" Target="https://www.youtube.com/watch?v=7Al5hWmjoxQ" TargetMode="External" Id="rId115"/><Relationship Type="http://schemas.openxmlformats.org/officeDocument/2006/relationships/hyperlink" Target="https://ll.thespacedevs.com/2.3.0/launches/f842964b-288f-4100-95d4-3b3510712f81/?format=json" TargetMode="External" Id="rId116"/><Relationship Type="http://schemas.openxmlformats.org/officeDocument/2006/relationships/hyperlink" Target="https://www.youtube.com/watch?v=pv_Zw8UK3H0" TargetMode="External" Id="rId117"/><Relationship Type="http://schemas.openxmlformats.org/officeDocument/2006/relationships/hyperlink" Target="https://ll.thespacedevs.com/2.3.0/launches/e58b3e2f-0066-4caf-9470-aa404e9a0142/?format=json" TargetMode="External" Id="rId118"/><Relationship Type="http://schemas.openxmlformats.org/officeDocument/2006/relationships/hyperlink" Target="https://www.youtube.com/watch?v=k-cuTDrVCmQ" TargetMode="External" Id="rId119"/><Relationship Type="http://schemas.openxmlformats.org/officeDocument/2006/relationships/hyperlink" Target="https://ll.thespacedevs.com/2.3.0/launches/113a85d7-2f1c-4302-a1d5-9b8837ab6a33/?format=json" TargetMode="External" Id="rId120"/><Relationship Type="http://schemas.openxmlformats.org/officeDocument/2006/relationships/hyperlink" Target="https://www.youtube.com/watch?v=d-31hJeW1ec" TargetMode="External" Id="rId121"/><Relationship Type="http://schemas.openxmlformats.org/officeDocument/2006/relationships/hyperlink" Target="https://ll.thespacedevs.com/2.3.0/launches/ad025362-828f-448c-855d-bfe53e04cdeb/?format=json" TargetMode="External" Id="rId122"/><Relationship Type="http://schemas.openxmlformats.org/officeDocument/2006/relationships/hyperlink" Target="https://www.youtube.com/watch?v=M-ozUCTeDFE" TargetMode="External" Id="rId123"/><Relationship Type="http://schemas.openxmlformats.org/officeDocument/2006/relationships/hyperlink" Target="https://ll.thespacedevs.com/2.3.0/launches/94b4e77e-ac83-4b4b-8508-0443bd8bdecf/?format=json" TargetMode="External" Id="rId124"/><Relationship Type="http://schemas.openxmlformats.org/officeDocument/2006/relationships/hyperlink" Target="https://www.youtube.com/watch?v=5ikgtJOeDW4" TargetMode="External" Id="rId125"/><Relationship Type="http://schemas.openxmlformats.org/officeDocument/2006/relationships/hyperlink" Target="https://ll.thespacedevs.com/2.3.0/launches/a150bf95-0152-410d-9657-423608ddfab4/?format=json" TargetMode="External" Id="rId126"/><Relationship Type="http://schemas.openxmlformats.org/officeDocument/2006/relationships/hyperlink" Target="https://www.youtube.com/watch?v=yD0qIdUOYnU" TargetMode="External" Id="rId127"/><Relationship Type="http://schemas.openxmlformats.org/officeDocument/2006/relationships/hyperlink" Target="https://ll.thespacedevs.com/2.3.0/launches/96f437cb-83c1-414b-8e32-d0e1bd6c265b/?format=json" TargetMode="External" Id="rId128"/><Relationship Type="http://schemas.openxmlformats.org/officeDocument/2006/relationships/hyperlink" Target="https://www.youtube.com/watch?v=PplSn4YNbz0" TargetMode="External" Id="rId129"/><Relationship Type="http://schemas.openxmlformats.org/officeDocument/2006/relationships/hyperlink" Target="https://ll.thespacedevs.com/2.3.0/launches/0a4ae6ce-07ef-4e48-9b4d-0bf4e1182134/?format=json" TargetMode="External" Id="rId130"/><Relationship Type="http://schemas.openxmlformats.org/officeDocument/2006/relationships/hyperlink" Target="https://www.youtube.com/watch?v=sincLVbpw4w" TargetMode="External" Id="rId131"/><Relationship Type="http://schemas.openxmlformats.org/officeDocument/2006/relationships/hyperlink" Target="https://ll.thespacedevs.com/2.3.0/launches/140dd3f9-da40-4558-878f-a84246d76151/?format=json" TargetMode="External" Id="rId132"/><Relationship Type="http://schemas.openxmlformats.org/officeDocument/2006/relationships/hyperlink" Target="https://www.youtube.com/watch?v=ewgd5BPw4tc" TargetMode="External" Id="rId133"/><Relationship Type="http://schemas.openxmlformats.org/officeDocument/2006/relationships/hyperlink" Target="https://ll.thespacedevs.com/2.3.0/launches/0f16b696-d248-4096-9be7-953802c569b2/?format=json" TargetMode="External" Id="rId134"/><Relationship Type="http://schemas.openxmlformats.org/officeDocument/2006/relationships/hyperlink" Target="https://www.youtube.com/watch?v=_LAy4XiKNvQ" TargetMode="External" Id="rId135"/><Relationship Type="http://schemas.openxmlformats.org/officeDocument/2006/relationships/hyperlink" Target="https://ll.thespacedevs.com/2.3.0/launches/fc69c107-b0ad-47e9-8973-9de75a7c6b6d/?format=json" TargetMode="External" Id="rId136"/><Relationship Type="http://schemas.openxmlformats.org/officeDocument/2006/relationships/hyperlink" Target="https://www.youtube.com/watch?v=OggyCnnCJec" TargetMode="External" Id="rId137"/><Relationship Type="http://schemas.openxmlformats.org/officeDocument/2006/relationships/hyperlink" Target="https://ll.thespacedevs.com/2.3.0/launches/5b483b3d-d5c5-44df-8a67-c5a8ad87a123/?format=json" TargetMode="External" Id="rId138"/><Relationship Type="http://schemas.openxmlformats.org/officeDocument/2006/relationships/hyperlink" Target="https://ll.thespacedevs.com/2.3.0/launches/10cb03bb-53df-462f-be12-e8e4b8dcca82/?format=json" TargetMode="External" Id="rId139"/><Relationship Type="http://schemas.openxmlformats.org/officeDocument/2006/relationships/hyperlink" Target="https://ll.thespacedevs.com/2.3.0/launches/d260a1bc-c448-4751-8ea6-bc20a3cab779/?format=json" TargetMode="External" Id="rId140"/><Relationship Type="http://schemas.openxmlformats.org/officeDocument/2006/relationships/hyperlink" Target="https://www.youtube.com/watch?v=gkvby1Prnjs" TargetMode="External" Id="rId141"/><Relationship Type="http://schemas.openxmlformats.org/officeDocument/2006/relationships/hyperlink" Target="https://ll.thespacedevs.com/2.3.0/launches/66172ee0-3d02-4640-a802-55025a51172d/?format=json" TargetMode="External" Id="rId142"/><Relationship Type="http://schemas.openxmlformats.org/officeDocument/2006/relationships/hyperlink" Target="https://www.youtube.com/watch?v=BM8OCzwJtMg" TargetMode="External" Id="rId143"/><Relationship Type="http://schemas.openxmlformats.org/officeDocument/2006/relationships/hyperlink" Target="https://ll.thespacedevs.com/2.3.0/launches/5d816773-89cb-48b9-9bf0-a9c4d8236785/?format=json" TargetMode="External" Id="rId144"/><Relationship Type="http://schemas.openxmlformats.org/officeDocument/2006/relationships/hyperlink" Target="https://www.youtube.com/watch?v=n3EppO2wppQ" TargetMode="External" Id="rId145"/><Relationship Type="http://schemas.openxmlformats.org/officeDocument/2006/relationships/hyperlink" Target="https://ll.thespacedevs.com/2.3.0/launches/089a182d-7e8a-48d8-815c-eefbade8110c/?format=json" TargetMode="External" Id="rId146"/><Relationship Type="http://schemas.openxmlformats.org/officeDocument/2006/relationships/hyperlink" Target="https://www.youtube.com/watch?v=q-w-ZUYyEAo" TargetMode="External" Id="rId147"/><Relationship Type="http://schemas.openxmlformats.org/officeDocument/2006/relationships/hyperlink" Target="https://ll.thespacedevs.com/2.3.0/launches/f9e4852a-fba8-4937-9a86-5a05b3244fb1/?format=json" TargetMode="External" Id="rId148"/><Relationship Type="http://schemas.openxmlformats.org/officeDocument/2006/relationships/hyperlink" Target="https://www.youtube.com/watch?v=cMP328yoUu4" TargetMode="External" Id="rId149"/><Relationship Type="http://schemas.openxmlformats.org/officeDocument/2006/relationships/hyperlink" Target="https://ll.thespacedevs.com/2.3.0/launches/de6db617-3d40-414a-86d6-f365b130df30/?format=json" TargetMode="External" Id="rId150"/><Relationship Type="http://schemas.openxmlformats.org/officeDocument/2006/relationships/hyperlink" Target="https://www.youtube.com/watch?v=MCYZR_Btmys" TargetMode="External" Id="rId151"/><Relationship Type="http://schemas.openxmlformats.org/officeDocument/2006/relationships/hyperlink" Target="https://ll.thespacedevs.com/2.3.0/launches/4a0681be-ed20-40b9-870b-38de1583c0ef/?format=json" TargetMode="External" Id="rId152"/><Relationship Type="http://schemas.openxmlformats.org/officeDocument/2006/relationships/hyperlink" Target="https://www.youtube.com/watch?v=qqhWp-kgGkg" TargetMode="External" Id="rId153"/><Relationship Type="http://schemas.openxmlformats.org/officeDocument/2006/relationships/hyperlink" Target="https://ll.thespacedevs.com/2.3.0/launches/1e562a6b-f1eb-4c9c-a074-4172c831ed70/?format=json" TargetMode="External" Id="rId154"/><Relationship Type="http://schemas.openxmlformats.org/officeDocument/2006/relationships/hyperlink" Target="https://www.youtube.com/watch?v=jNX7oNUpvE8" TargetMode="External" Id="rId155"/><Relationship Type="http://schemas.openxmlformats.org/officeDocument/2006/relationships/hyperlink" Target="https://ll.thespacedevs.com/2.3.0/launches/50a682c6-1da0-4859-a163-4182c7619178/?format=json" TargetMode="External" Id="rId156"/><Relationship Type="http://schemas.openxmlformats.org/officeDocument/2006/relationships/hyperlink" Target="https://www.youtube.com/watch?v=Iie55rBgwZY" TargetMode="External" Id="rId157"/><Relationship Type="http://schemas.openxmlformats.org/officeDocument/2006/relationships/hyperlink" Target="https://ll.thespacedevs.com/2.3.0/launches/3639c1c6-1f92-4836-9eeb-fd50ef398550/?format=json" TargetMode="External" Id="rId158"/><Relationship Type="http://schemas.openxmlformats.org/officeDocument/2006/relationships/hyperlink" Target="https://www.youtube.com/watch?v=tQru-Ol7DWU" TargetMode="External" Id="rId159"/><Relationship Type="http://schemas.openxmlformats.org/officeDocument/2006/relationships/hyperlink" Target="https://ll.thespacedevs.com/2.3.0/launches/3785d31d-770f-4622-b7e4-a683dbd34c39/?format=json" TargetMode="External" Id="rId160"/><Relationship Type="http://schemas.openxmlformats.org/officeDocument/2006/relationships/hyperlink" Target="https://www.youtube.com/watch?v=VQhLu0hOB14" TargetMode="External" Id="rId161"/><Relationship Type="http://schemas.openxmlformats.org/officeDocument/2006/relationships/hyperlink" Target="https://ll.thespacedevs.com/2.3.0/launches/3de97847-11cd-40e3-ba7f-e16b276612de/?format=json" TargetMode="External" Id="rId162"/><Relationship Type="http://schemas.openxmlformats.org/officeDocument/2006/relationships/hyperlink" Target="https://www.youtube.com/watch?v=WKE08UfCMYU" TargetMode="External" Id="rId163"/><Relationship Type="http://schemas.openxmlformats.org/officeDocument/2006/relationships/hyperlink" Target="https://ll.thespacedevs.com/2.3.0/launches/36dd2ab6-b454-40c5-8707-7d38c69cf226/?format=json" TargetMode="External" Id="rId164"/><Relationship Type="http://schemas.openxmlformats.org/officeDocument/2006/relationships/hyperlink" Target="https://www.youtube.com/watch?v=bR1en0oGPRs" TargetMode="External" Id="rId165"/><Relationship Type="http://schemas.openxmlformats.org/officeDocument/2006/relationships/hyperlink" Target="https://ll.thespacedevs.com/2.3.0/launches/b0ca3e7a-650e-4af6-bdf9-658e6e114763/?format=json" TargetMode="External" Id="rId166"/><Relationship Type="http://schemas.openxmlformats.org/officeDocument/2006/relationships/hyperlink" Target="https://ll.thespacedevs.com/2.3.0/launches/4e074623-426a-4ab2-8729-a85200684bef/?format=json" TargetMode="External" Id="rId167"/><Relationship Type="http://schemas.openxmlformats.org/officeDocument/2006/relationships/hyperlink" Target="https://www.youtube.com/watch?v=R933NMzP1T0" TargetMode="External" Id="rId168"/><Relationship Type="http://schemas.openxmlformats.org/officeDocument/2006/relationships/hyperlink" Target="https://ll.thespacedevs.com/2.3.0/launches/9281afa8-140d-425b-a560-2fa59feef814/?format=json" TargetMode="External" Id="rId169"/><Relationship Type="http://schemas.openxmlformats.org/officeDocument/2006/relationships/hyperlink" Target="https://www.youtube.com/watch?v=oyrrCpLFU88" TargetMode="External" Id="rId170"/><Relationship Type="http://schemas.openxmlformats.org/officeDocument/2006/relationships/hyperlink" Target="https://ll.thespacedevs.com/2.3.0/launches/156a9e46-01b5-46f4-818e-ea563c71c5fe/?format=json" TargetMode="External" Id="rId171"/><Relationship Type="http://schemas.openxmlformats.org/officeDocument/2006/relationships/hyperlink" Target="https://ll.thespacedevs.com/2.3.0/launches/e6cefffc-19a6-4a4b-a7f0-ebe907d5a6aa/?format=json" TargetMode="External" Id="rId172"/><Relationship Type="http://schemas.openxmlformats.org/officeDocument/2006/relationships/hyperlink" Target="https://www.youtube.com/watch?v=jfFnNC0NG2Y" TargetMode="External" Id="rId173"/><Relationship Type="http://schemas.openxmlformats.org/officeDocument/2006/relationships/hyperlink" Target="https://ll.thespacedevs.com/2.3.0/launches/04154b70-045b-4e3a-bb5a-e5436091ba37/?format=json" TargetMode="External" Id="rId174"/><Relationship Type="http://schemas.openxmlformats.org/officeDocument/2006/relationships/hyperlink" Target="https://www.youtube.com/watch?v=mD-rTeRXx8o" TargetMode="External" Id="rId175"/><Relationship Type="http://schemas.openxmlformats.org/officeDocument/2006/relationships/hyperlink" Target="https://ll.thespacedevs.com/2.3.0/launches/add0a5be-1cf0-49cb-975a-e8c8e18d37ec/?format=json" TargetMode="External" Id="rId176"/><Relationship Type="http://schemas.openxmlformats.org/officeDocument/2006/relationships/table" Target="/xl/tables/table1.xml" Id="rId177"/></Relationships>
</file>

<file path=xl/worksheets/_rels/sheet2.xml.rels><Relationships xmlns="http://schemas.openxmlformats.org/package/2006/relationships"><Relationship Type="http://schemas.openxmlformats.org/officeDocument/2006/relationships/hyperlink" Target="https://ll.thespacedevs.com/2.3.0/launches/previous/" TargetMode="External" Id="rId1"/></Relationships>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4.xml" Id="rId2"/></Relationships>
</file>

<file path=xl/worksheets/_rels/sheet6.xml.rels><Relationships xmlns="http://schemas.openxmlformats.org/package/2006/relationships"><Relationship Type="http://schemas.openxmlformats.org/officeDocument/2006/relationships/hyperlink" Target="https://ll.thespacedevs.com/2.3.0/launches/previous/" TargetMode="External" Id="rId1"/></Relationships>
</file>

<file path=xl/worksheets/sheet1.xml><?xml version="1.0" encoding="utf-8"?>
<worksheet xmlns="http://schemas.openxmlformats.org/spreadsheetml/2006/main">
  <sheetPr>
    <outlinePr summaryBelow="1" summaryRight="1"/>
    <pageSetUpPr/>
  </sheetPr>
  <dimension ref="A1:P92"/>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9" customWidth="1" min="3" max="3"/>
    <col width="8" customWidth="1" min="4" max="4"/>
    <col width="34" customWidth="1" min="5" max="5"/>
    <col width="12" customWidth="1" min="6" max="6"/>
    <col width="22" customWidth="1" min="7" max="7"/>
    <col width="12" customWidth="1" min="8" max="8"/>
    <col width="24" customWidth="1" min="9" max="9"/>
    <col width="28" customWidth="1" min="10" max="10"/>
    <col width="30" customWidth="1" min="11" max="11"/>
    <col width="58" customWidth="1" min="12" max="12"/>
    <col width="48" customWidth="1" min="13" max="13"/>
    <col width="18" customWidth="1" min="14" max="14"/>
    <col width="18" customWidth="1" min="15" max="15"/>
    <col width="38" customWidth="1" min="16" max="16"/>
  </cols>
  <sheetData>
    <row r="1" ht="30" customHeight="1">
      <c r="A1" s="1" t="inlineStr">
        <is>
          <t>nr</t>
        </is>
      </c>
      <c r="B1" s="1" t="inlineStr">
        <is>
          <t>data</t>
        </is>
      </c>
      <c r="C1" s="1" t="inlineStr">
        <is>
          <t>ora UTC</t>
        </is>
      </c>
      <c r="D1" s="1" t="inlineStr">
        <is>
          <t>anno</t>
        </is>
      </c>
      <c r="E1" s="1" t="inlineStr">
        <is>
          <t>missione</t>
        </is>
      </c>
      <c r="F1" s="1" t="inlineStr">
        <is>
          <t>stato</t>
        </is>
      </c>
      <c r="G1" s="1" t="inlineStr">
        <is>
          <t>tipo missione</t>
        </is>
      </c>
      <c r="H1" s="1" t="inlineStr">
        <is>
          <t>orbita</t>
        </is>
      </c>
      <c r="I1" s="1" t="inlineStr">
        <is>
          <t>cliente</t>
        </is>
      </c>
      <c r="J1" s="1" t="inlineStr">
        <is>
          <t>pad</t>
        </is>
      </c>
      <c r="K1" s="1" t="inlineStr">
        <is>
          <t>localita</t>
        </is>
      </c>
      <c r="L1" s="1" t="inlineStr">
        <is>
          <t>descrizione</t>
        </is>
      </c>
      <c r="M1" s="1" t="inlineStr">
        <is>
          <t>causa fallimento</t>
        </is>
      </c>
      <c r="N1" s="1" t="inlineStr">
        <is>
          <t>video</t>
        </is>
      </c>
      <c r="O1" s="1" t="inlineStr">
        <is>
          <t>fonte LL2</t>
        </is>
      </c>
      <c r="P1" s="1" t="inlineStr">
        <is>
          <t>id Launch Library 2</t>
        </is>
      </c>
    </row>
    <row r="2">
      <c r="A2" s="2" t="n">
        <v>1</v>
      </c>
      <c r="B2" s="3" t="n">
        <v>42880</v>
      </c>
      <c r="C2" s="2" t="inlineStr">
        <is>
          <t>04:20</t>
        </is>
      </c>
      <c r="D2" s="2" t="n">
        <v>2017</v>
      </c>
      <c r="E2" s="4" t="inlineStr">
        <is>
          <t>It's a Test</t>
        </is>
      </c>
      <c r="F2" s="5" t="inlineStr">
        <is>
          <t>fallito</t>
        </is>
      </c>
      <c r="G2" s="2" t="inlineStr">
        <is>
          <t>Test Flight</t>
        </is>
      </c>
      <c r="H2" s="2" t="inlineStr">
        <is>
          <t>LEO</t>
        </is>
      </c>
      <c r="I2" s="4" t="inlineStr"/>
      <c r="J2" s="2" t="inlineStr">
        <is>
          <t>Rocket Lab Launch Complex 1A</t>
        </is>
      </c>
      <c r="K2" s="4" t="inlineStr">
        <is>
          <t>Rocket Lab Launch Complex 1, Mahia Peninsula, New Zealand</t>
        </is>
      </c>
      <c r="L2" s="4" t="inlineStr">
        <is>
          <t>This is the first test flight of the Electron rocket. Built and operated by Rocket Lab, Electron is meant to offer low-price launches for the small-sat market.</t>
        </is>
      </c>
      <c r="M2" s="4" t="inlineStr">
        <is>
          <t>Third-party contractor supporting the launch misconfigured ground equipment that translated radio signals from the rocket into data used by range safety officials. That caused â€œextensive corruption of received position data,â€ resulting in the data loss that led safety officials to trigger the rocketâ€™s flight termination system.</t>
        </is>
      </c>
      <c r="N2" s="6" t="inlineStr">
        <is>
          <t>https://www.youtube.com/watch?v=P7YmRKuJSvU</t>
        </is>
      </c>
      <c r="O2" s="6" t="inlineStr">
        <is>
          <t>https://ll.thespacedevs.com/2.3.0/launches/f8e04552-1dfa-4607-8bba-969b2988c598/?format=json</t>
        </is>
      </c>
      <c r="P2" s="2" t="inlineStr">
        <is>
          <t>f8e04552-1dfa-4607-8bba-969b2988c598</t>
        </is>
      </c>
    </row>
    <row r="3">
      <c r="A3" s="2" t="n">
        <v>2</v>
      </c>
      <c r="B3" s="3" t="n">
        <v>43121</v>
      </c>
      <c r="C3" s="2" t="inlineStr">
        <is>
          <t>01:43</t>
        </is>
      </c>
      <c r="D3" s="2" t="n">
        <v>2018</v>
      </c>
      <c r="E3" s="4" t="inlineStr">
        <is>
          <t>Still Testing (Dove Pioneer, 2 x Lemur-2)</t>
        </is>
      </c>
      <c r="F3" s="7" t="inlineStr">
        <is>
          <t>successo</t>
        </is>
      </c>
      <c r="G3" s="2" t="inlineStr">
        <is>
          <t>Test Flight</t>
        </is>
      </c>
      <c r="H3" s="2" t="inlineStr">
        <is>
          <t>LEO</t>
        </is>
      </c>
      <c r="I3" s="4" t="inlineStr"/>
      <c r="J3" s="2" t="inlineStr">
        <is>
          <t>Rocket Lab Launch Complex 1A</t>
        </is>
      </c>
      <c r="K3" s="4" t="inlineStr">
        <is>
          <t>Rocket Lab Launch Complex 1, Mahia Peninsula, New Zealand</t>
        </is>
      </c>
      <c r="L3" s="4" t="inlineStr">
        <is>
          <t>The second test flight of the Electron small satellite launch vehicle. It is also the first Electron flight to carry commercial payload. It includes a Dove cubesat for company Planet intended for Earth observation. And also two Lemur-2 cubesats for company Spire which carry payloads for meteorology and ship traffic tracking.</t>
        </is>
      </c>
      <c r="M3" s="4" t="inlineStr"/>
      <c r="N3" s="6" t="inlineStr">
        <is>
          <t>https://www.youtube.com/watch?v=eg5234BOED8</t>
        </is>
      </c>
      <c r="O3" s="6" t="inlineStr">
        <is>
          <t>https://ll.thespacedevs.com/2.3.0/launches/e958506b-6dbb-4a32-91dc-ed94457df931/?format=json</t>
        </is>
      </c>
      <c r="P3" s="2" t="inlineStr">
        <is>
          <t>e958506b-6dbb-4a32-91dc-ed94457df931</t>
        </is>
      </c>
    </row>
    <row r="4">
      <c r="A4" s="2" t="n">
        <v>3</v>
      </c>
      <c r="B4" s="3" t="n">
        <v>43415</v>
      </c>
      <c r="C4" s="2" t="inlineStr">
        <is>
          <t>03:50</t>
        </is>
      </c>
      <c r="D4" s="2" t="n">
        <v>2018</v>
      </c>
      <c r="E4" s="4" t="inlineStr">
        <is>
          <t>It's Business Time (Rideshare)</t>
        </is>
      </c>
      <c r="F4" s="7" t="inlineStr">
        <is>
          <t>successo</t>
        </is>
      </c>
      <c r="G4" s="2" t="inlineStr">
        <is>
          <t>Dedicated Rideshare</t>
        </is>
      </c>
      <c r="H4" s="2" t="inlineStr">
        <is>
          <t>LEO</t>
        </is>
      </c>
      <c r="I4" s="4" t="inlineStr"/>
      <c r="J4" s="2" t="inlineStr">
        <is>
          <t>Rocket Lab Launch Complex 1A</t>
        </is>
      </c>
      <c r="K4" s="4" t="inlineStr">
        <is>
          <t>Rocket Lab Launch Complex 1, Mahia Peninsula, New Zealand</t>
        </is>
      </c>
      <c r="L4" s="4" t="inlineStr">
        <is>
          <t>Electron's first commercial launch will feature two Lemur-2 cubesats for Spire Global, a single cubesat for GeoOptics, a NABEO drag sail demonstrator for High Performance Space Structure Systems, an IRVINE01 cubesat from the Irvine CubeSat STEM Program, and two Proxima cubesats from Fleet Space Technologies.</t>
        </is>
      </c>
      <c r="M4" s="4" t="inlineStr"/>
      <c r="N4" s="6" t="inlineStr">
        <is>
          <t>https://www.youtube.com/watch?v=sPwMuUxSrcA</t>
        </is>
      </c>
      <c r="O4" s="6" t="inlineStr">
        <is>
          <t>https://ll.thespacedevs.com/2.3.0/launches/b29bfc4f-2819-4ebf-9887-4b1295171157/?format=json</t>
        </is>
      </c>
      <c r="P4" s="2" t="inlineStr">
        <is>
          <t>b29bfc4f-2819-4ebf-9887-4b1295171157</t>
        </is>
      </c>
    </row>
    <row r="5">
      <c r="A5" s="2" t="n">
        <v>4</v>
      </c>
      <c r="B5" s="3" t="n">
        <v>43450</v>
      </c>
      <c r="C5" s="2" t="inlineStr">
        <is>
          <t>06:33</t>
        </is>
      </c>
      <c r="D5" s="2" t="n">
        <v>2018</v>
      </c>
      <c r="E5" s="4" t="inlineStr">
        <is>
          <t>This One's For Pickering (VCLS ELaNa XIX)</t>
        </is>
      </c>
      <c r="F5" s="7" t="inlineStr">
        <is>
          <t>successo</t>
        </is>
      </c>
      <c r="G5" s="2" t="inlineStr">
        <is>
          <t>Dedicated Rideshare</t>
        </is>
      </c>
      <c r="H5" s="2" t="inlineStr">
        <is>
          <t>LEO</t>
        </is>
      </c>
      <c r="I5" s="4" t="inlineStr"/>
      <c r="J5" s="2" t="inlineStr">
        <is>
          <t>Rocket Lab Launch Complex 1A</t>
        </is>
      </c>
      <c r="K5" s="4" t="inlineStr">
        <is>
          <t>Rocket Lab Launch Complex 1, Mahia Peninsula, New Zealand</t>
        </is>
      </c>
      <c r="L5" s="4" t="inlineStr">
        <is>
          <t>NASA's signed a Venture Class Launch Services contract with Rocket Lab to launch 10 cubesats as a part of CubeSat Launch Initiative Educational Launch of Nanosatellites (ELaNa) program. Cubesats are: ALBus / CeREs / CHOMPTT / Da Vinci / ISX / NMTSat / RSat-P / Shields 1 / STF 1 / CubeSail A / CubeSail B /TOMSat EagleScout / TOMSat R3 / SHFT 1</t>
        </is>
      </c>
      <c r="M5" s="4" t="inlineStr"/>
      <c r="N5" s="6" t="inlineStr">
        <is>
          <t>https://www.youtube.com/watch?v=F7Kr3664hJs</t>
        </is>
      </c>
      <c r="O5" s="6" t="inlineStr">
        <is>
          <t>https://ll.thespacedevs.com/2.3.0/launches/5cff7134-74a0-490a-8333-507d514c90c5/?format=json</t>
        </is>
      </c>
      <c r="P5" s="2" t="inlineStr">
        <is>
          <t>5cff7134-74a0-490a-8333-507d514c90c5</t>
        </is>
      </c>
    </row>
    <row r="6">
      <c r="A6" s="2" t="n">
        <v>5</v>
      </c>
      <c r="B6" s="3" t="n">
        <v>43552</v>
      </c>
      <c r="C6" s="2" t="inlineStr">
        <is>
          <t>23:27</t>
        </is>
      </c>
      <c r="D6" s="2" t="n">
        <v>2019</v>
      </c>
      <c r="E6" s="4" t="inlineStr">
        <is>
          <t>Two Thumbs Up (DARPA R3D2)</t>
        </is>
      </c>
      <c r="F6" s="7" t="inlineStr">
        <is>
          <t>successo</t>
        </is>
      </c>
      <c r="G6" s="2" t="inlineStr">
        <is>
          <t>Communications</t>
        </is>
      </c>
      <c r="H6" s="2" t="inlineStr">
        <is>
          <t>LEO</t>
        </is>
      </c>
      <c r="I6" s="4" t="inlineStr"/>
      <c r="J6" s="2" t="inlineStr">
        <is>
          <t>Rocket Lab Launch Complex 1A</t>
        </is>
      </c>
      <c r="K6" s="4" t="inlineStr">
        <is>
          <t>Rocket Lab Launch Complex 1, Mahia Peninsula, New Zealand</t>
        </is>
      </c>
      <c r="L6" s="4" t="inlineStr">
        <is>
          <t>Radio Frequency Risk Reduction Deployment Demonstration (R3D2) is a mission for Defense Advanced Research Projects Agency (DARPA). It will test a prototype reflect array antenna which is intended to improve radio communications in small spacecraft.</t>
        </is>
      </c>
      <c r="M6" s="4" t="inlineStr"/>
      <c r="N6" s="6" t="inlineStr">
        <is>
          <t>https://www.youtube.com/watch?v=TGhlWMJtDEI</t>
        </is>
      </c>
      <c r="O6" s="6" t="inlineStr">
        <is>
          <t>https://ll.thespacedevs.com/2.3.0/launches/9cde3d74-d84d-45b2-b4a9-81509fbb039a/?format=json</t>
        </is>
      </c>
      <c r="P6" s="2" t="inlineStr">
        <is>
          <t>9cde3d74-d84d-45b2-b4a9-81509fbb039a</t>
        </is>
      </c>
    </row>
    <row r="7">
      <c r="A7" s="2" t="n">
        <v>6</v>
      </c>
      <c r="B7" s="3" t="n">
        <v>43590</v>
      </c>
      <c r="C7" s="2" t="inlineStr">
        <is>
          <t>06:00</t>
        </is>
      </c>
      <c r="D7" s="2" t="n">
        <v>2019</v>
      </c>
      <c r="E7" s="4" t="inlineStr">
        <is>
          <t>That's a Funny Looking Cactus (STP-27RD)</t>
        </is>
      </c>
      <c r="F7" s="7" t="inlineStr">
        <is>
          <t>successo</t>
        </is>
      </c>
      <c r="G7" s="2" t="inlineStr">
        <is>
          <t>Dedicated Rideshare</t>
        </is>
      </c>
      <c r="H7" s="2" t="inlineStr">
        <is>
          <t>LEO</t>
        </is>
      </c>
      <c r="I7" s="4" t="inlineStr"/>
      <c r="J7" s="2" t="inlineStr">
        <is>
          <t>Rocket Lab Launch Complex 1A</t>
        </is>
      </c>
      <c r="K7" s="4" t="inlineStr">
        <is>
          <t>Rocket Lab Launch Complex 1, Mahia Peninsula, New Zealand</t>
        </is>
      </c>
      <c r="L7" s="4" t="inlineStr">
        <is>
          <t>The mission has been procured by the DoD Space Test Program in partnership with Defense Innovation Unit (DIU) as part of its Rapid Agile Launch Initiative .The payload consists of three satellites, SPARC-1, Falcon ODE and Harbinger, that will deployed in a precise sequence. The Space Plug and Play Architecture Research CubeSat-1 (SPARC-1) mission, sponsored by the Air Force Research Laboratory Space Vehicles Directorate (AFRL/RV), is a joint Swedish-United States experiment to explore technology developments in avionics miniaturization, software defined radio systems, and space situational awareness (SSA). The Falcon Orbital Debris Experiment (Falcon ODE), sponsored by the United States Air Force Academy, will evaluate ground-based tracking of space objects. Harbinger, a commercial small satellite built by York Space Systems and sponsored by the U.S Army, will demonstrate the ability of an experimental commercial system to meet DoD space capability requirements.</t>
        </is>
      </c>
      <c r="M7" s="4" t="inlineStr"/>
      <c r="N7" s="6" t="inlineStr">
        <is>
          <t>https://www.youtube.com/watch?v=ahVDVWq_Ei4</t>
        </is>
      </c>
      <c r="O7" s="6" t="inlineStr">
        <is>
          <t>https://ll.thespacedevs.com/2.3.0/launches/498c278b-7c41-4591-ac43-f8edb97a968d/?format=json</t>
        </is>
      </c>
      <c r="P7" s="2" t="inlineStr">
        <is>
          <t>498c278b-7c41-4591-ac43-f8edb97a968d</t>
        </is>
      </c>
    </row>
    <row r="8">
      <c r="A8" s="2" t="n">
        <v>7</v>
      </c>
      <c r="B8" s="3" t="n">
        <v>43645</v>
      </c>
      <c r="C8" s="2" t="inlineStr">
        <is>
          <t>04:30</t>
        </is>
      </c>
      <c r="D8" s="2" t="n">
        <v>2019</v>
      </c>
      <c r="E8" s="4" t="inlineStr">
        <is>
          <t>Make It Rain (Rideshare)</t>
        </is>
      </c>
      <c r="F8" s="7" t="inlineStr">
        <is>
          <t>successo</t>
        </is>
      </c>
      <c r="G8" s="2" t="inlineStr">
        <is>
          <t>Dedicated Rideshare</t>
        </is>
      </c>
      <c r="H8" s="2" t="inlineStr">
        <is>
          <t>LEO</t>
        </is>
      </c>
      <c r="I8" s="4" t="inlineStr"/>
      <c r="J8" s="2" t="inlineStr">
        <is>
          <t>Rocket Lab Launch Complex 1A</t>
        </is>
      </c>
      <c r="K8" s="4" t="inlineStr">
        <is>
          <t>Rocket Lab Launch Complex 1, Mahia Peninsula, New Zealand</t>
        </is>
      </c>
      <c r="L8" s="4" t="inlineStr">
        <is>
          <t>Rideshare mission for Spaceflight. Electron will launch seven spacecraft, including a commercial Earth-observing microsatellite for BlackSky, two CubeSats for U.S. Special Operations Command, a pair of tiny prototype data relay nodes for Swarm Technologies, a student-built payload from Australia called ACRUX-1, and a satellite whose identity and owner remain a secret. The mission is named "Make it Rain" in a nod to the high volume of rainfall in Seattle, where Spaceflight is headquartered, as well in New Zealand where Launch Complex 1 is located.</t>
        </is>
      </c>
      <c r="M8" s="4" t="inlineStr"/>
      <c r="N8" s="6" t="inlineStr">
        <is>
          <t>https://www.youtube.com/watch?v=idKCy8LdyKo</t>
        </is>
      </c>
      <c r="O8" s="6" t="inlineStr">
        <is>
          <t>https://ll.thespacedevs.com/2.3.0/launches/18be1907-430c-453d-8740-0a97e9f63dcc/?format=json</t>
        </is>
      </c>
      <c r="P8" s="2" t="inlineStr">
        <is>
          <t>18be1907-430c-453d-8740-0a97e9f63dcc</t>
        </is>
      </c>
    </row>
    <row r="9">
      <c r="A9" s="2" t="n">
        <v>8</v>
      </c>
      <c r="B9" s="3" t="n">
        <v>43696</v>
      </c>
      <c r="C9" s="2" t="inlineStr">
        <is>
          <t>12:12</t>
        </is>
      </c>
      <c r="D9" s="2" t="n">
        <v>2019</v>
      </c>
      <c r="E9" s="4" t="inlineStr">
        <is>
          <t>Look Ma, No Hands (Rideshare)</t>
        </is>
      </c>
      <c r="F9" s="7" t="inlineStr">
        <is>
          <t>successo</t>
        </is>
      </c>
      <c r="G9" s="2" t="inlineStr">
        <is>
          <t>Dedicated Rideshare</t>
        </is>
      </c>
      <c r="H9" s="2" t="inlineStr">
        <is>
          <t>LEO</t>
        </is>
      </c>
      <c r="I9" s="4" t="inlineStr"/>
      <c r="J9" s="2" t="inlineStr">
        <is>
          <t>Rocket Lab Launch Complex 1A</t>
        </is>
      </c>
      <c r="K9" s="4" t="inlineStr">
        <is>
          <t>Rocket Lab Launch Complex 1, Mahia Peninsula, New Zealand</t>
        </is>
      </c>
      <c r="L9" s="4" t="inlineStr">
        <is>
          <t>Mission carries a satellite for the future UNSEENLABS maritime tracking constellation, a BlackSky Global-4 Earth observation satellite, and two experimental satellites for United States Air Force Space Command.</t>
        </is>
      </c>
      <c r="M9" s="4" t="inlineStr"/>
      <c r="N9" s="6" t="inlineStr">
        <is>
          <t>https://www.youtube.com/watch?v=j2XZgrvYf_M</t>
        </is>
      </c>
      <c r="O9" s="6" t="inlineStr">
        <is>
          <t>https://ll.thespacedevs.com/2.3.0/launches/7044005c-fc8a-4a9c-8f9c-8c9093616fe7/?format=json</t>
        </is>
      </c>
      <c r="P9" s="2" t="inlineStr">
        <is>
          <t>7044005c-fc8a-4a9c-8f9c-8c9093616fe7</t>
        </is>
      </c>
    </row>
    <row r="10">
      <c r="A10" s="2" t="n">
        <v>9</v>
      </c>
      <c r="B10" s="3" t="n">
        <v>43755</v>
      </c>
      <c r="C10" s="2" t="inlineStr">
        <is>
          <t>01:22</t>
        </is>
      </c>
      <c r="D10" s="2" t="n">
        <v>2019</v>
      </c>
      <c r="E10" s="4" t="inlineStr">
        <is>
          <t>As The Crow Flies (Palisade)</t>
        </is>
      </c>
      <c r="F10" s="7" t="inlineStr">
        <is>
          <t>successo</t>
        </is>
      </c>
      <c r="G10" s="2" t="inlineStr">
        <is>
          <t>Earth Science</t>
        </is>
      </c>
      <c r="H10" s="2" t="inlineStr">
        <is>
          <t>LEO</t>
        </is>
      </c>
      <c r="I10" s="4" t="inlineStr"/>
      <c r="J10" s="2" t="inlineStr">
        <is>
          <t>Rocket Lab Launch Complex 1A</t>
        </is>
      </c>
      <c r="K10" s="4" t="inlineStr">
        <is>
          <t>Rocket Lab Launch Complex 1, Mahia Peninsula, New Zealand</t>
        </is>
      </c>
      <c r="L10" s="4" t="inlineStr">
        <is>
          <t>Encapsulated in Electron's fairing will be a single spacecraft for Astro Digital, a California-based satellite manufacturer and operator. The Landmapper-BC remote sensing satellite features a broad coverage multispectral imaging system with a resolution of 22 meters per pixel. Eventually, Astro Digital plans to extend the Landmapper-BC constellation to capture daily, multispectral imagery of the worldâ€™s arable land. The mission is named 'As The Crow Flies' in a nod to Astro Digital's Corvus Platform, which provides flexible and cost-effective solutions across a wide range of applications and mission profiles on bus variants ranging from 6U and 16U CubeSats to ESPA Class. Corvus is also a widely-distributed genus of birds which includes crows.</t>
        </is>
      </c>
      <c r="M10" s="4" t="inlineStr"/>
      <c r="N10" s="6" t="inlineStr">
        <is>
          <t>https://www.youtube.com/watch?v=gI_Ng4SGyUY</t>
        </is>
      </c>
      <c r="O10" s="6" t="inlineStr">
        <is>
          <t>https://ll.thespacedevs.com/2.3.0/launches/d8103fa8-0a7b-4fcd-89db-03d0c877fa16/?format=json</t>
        </is>
      </c>
      <c r="P10" s="2" t="inlineStr">
        <is>
          <t>d8103fa8-0a7b-4fcd-89db-03d0c877fa16</t>
        </is>
      </c>
    </row>
    <row r="11">
      <c r="A11" s="2" t="n">
        <v>10</v>
      </c>
      <c r="B11" s="3" t="n">
        <v>43805</v>
      </c>
      <c r="C11" s="2" t="inlineStr">
        <is>
          <t>08:18</t>
        </is>
      </c>
      <c r="D11" s="2" t="n">
        <v>2019</v>
      </c>
      <c r="E11" s="4" t="inlineStr">
        <is>
          <t>Running Out Of Fingers (Rideshare)</t>
        </is>
      </c>
      <c r="F11" s="7" t="inlineStr">
        <is>
          <t>successo</t>
        </is>
      </c>
      <c r="G11" s="2" t="inlineStr">
        <is>
          <t>Dedicated Rideshare</t>
        </is>
      </c>
      <c r="H11" s="2" t="inlineStr">
        <is>
          <t>LEO</t>
        </is>
      </c>
      <c r="I11" s="4" t="inlineStr"/>
      <c r="J11" s="2" t="inlineStr">
        <is>
          <t>Rocket Lab Launch Complex 1A</t>
        </is>
      </c>
      <c r="K11" s="4" t="inlineStr">
        <is>
          <t>Rocket Lab Launch Complex 1, Mahia Peninsula, New Zealand</t>
        </is>
      </c>
      <c r="L11" s="4" t="inlineStr">
        <is>
          <t>This is the Rocket Lab's 10th flight. It carries several small satellites for international commercial customers. This is also the first flight to feature an upgraded first stage of the Electron rocket, which is now equipped with new hardware and sensors. After completing its mission, Electron's first stage will perform a guided atmospheric re-entry, gathering data necessary for the development of Rocket Lab's reusability program.</t>
        </is>
      </c>
      <c r="M11" s="4" t="inlineStr"/>
      <c r="N11" s="6" t="inlineStr">
        <is>
          <t>https://www.youtube.com/watch?v=QK9mQdar5_w</t>
        </is>
      </c>
      <c r="O11" s="6" t="inlineStr">
        <is>
          <t>https://ll.thespacedevs.com/2.3.0/launches/1aa0edb9-3743-4084-bf79-138c1ba32e4a/?format=json</t>
        </is>
      </c>
      <c r="P11" s="2" t="inlineStr">
        <is>
          <t>1aa0edb9-3743-4084-bf79-138c1ba32e4a</t>
        </is>
      </c>
    </row>
    <row r="12">
      <c r="A12" s="2" t="n">
        <v>11</v>
      </c>
      <c r="B12" s="3" t="n">
        <v>43861</v>
      </c>
      <c r="C12" s="2" t="inlineStr">
        <is>
          <t>02:56</t>
        </is>
      </c>
      <c r="D12" s="2" t="n">
        <v>2020</v>
      </c>
      <c r="E12" s="4" t="inlineStr">
        <is>
          <t>Birds of a Feather (NROL-151)</t>
        </is>
      </c>
      <c r="F12" s="7" t="inlineStr">
        <is>
          <t>successo</t>
        </is>
      </c>
      <c r="G12" s="2" t="inlineStr">
        <is>
          <t>Government/Top Secret</t>
        </is>
      </c>
      <c r="H12" s="2" t="inlineStr">
        <is>
          <t>LEO</t>
        </is>
      </c>
      <c r="I12" s="4" t="inlineStr"/>
      <c r="J12" s="2" t="inlineStr">
        <is>
          <t>Rocket Lab Launch Complex 1A</t>
        </is>
      </c>
      <c r="K12" s="4" t="inlineStr">
        <is>
          <t>Rocket Lab Launch Complex 1, Mahia Peninsula, New Zealand</t>
        </is>
      </c>
      <c r="L12" s="4" t="inlineStr">
        <is>
          <t>This is a dedicated launch for the National Reconnaissance Office (NRO). The contract was awarded under Rapid Acquisition of a Small Rocket (RASR) program.</t>
        </is>
      </c>
      <c r="M12" s="4" t="inlineStr"/>
      <c r="N12" s="6" t="inlineStr">
        <is>
          <t>https://www.youtube.com/watch?v=af-PplDIkbc</t>
        </is>
      </c>
      <c r="O12" s="6" t="inlineStr">
        <is>
          <t>https://ll.thespacedevs.com/2.3.0/launches/39a2cd8d-2dcb-45bd-8a54-6f881bd94808/?format=json</t>
        </is>
      </c>
      <c r="P12" s="2" t="inlineStr">
        <is>
          <t>39a2cd8d-2dcb-45bd-8a54-6f881bd94808</t>
        </is>
      </c>
    </row>
    <row r="13">
      <c r="A13" s="2" t="n">
        <v>12</v>
      </c>
      <c r="B13" s="3" t="n">
        <v>43995</v>
      </c>
      <c r="C13" s="2" t="inlineStr">
        <is>
          <t>05:12</t>
        </is>
      </c>
      <c r="D13" s="2" t="n">
        <v>2020</v>
      </c>
      <c r="E13" s="4" t="inlineStr">
        <is>
          <t>Don't Stop Me Now (Rideshare)</t>
        </is>
      </c>
      <c r="F13" s="7" t="inlineStr">
        <is>
          <t>successo</t>
        </is>
      </c>
      <c r="G13" s="2" t="inlineStr">
        <is>
          <t>Dedicated Rideshare</t>
        </is>
      </c>
      <c r="H13" s="2" t="inlineStr">
        <is>
          <t>SSO</t>
        </is>
      </c>
      <c r="I13" s="4" t="inlineStr"/>
      <c r="J13" s="2" t="inlineStr">
        <is>
          <t>Rocket Lab Launch Complex 1A</t>
        </is>
      </c>
      <c r="K13" s="4" t="inlineStr">
        <is>
          <t>Rocket Lab Launch Complex 1, Mahia Peninsula, New Zealand</t>
        </is>
      </c>
      <c r="L13" s="4" t="inlineStr">
        <is>
          <t>This rideshare mission carries small satellites for NASA, University of New South Wales and for NRO. The mission has been named "Don't Stop Me Now" in recognition of Rocket Lab board member and avid Queen fan Scott Smith, who recently passed away.</t>
        </is>
      </c>
      <c r="M13" s="4" t="inlineStr"/>
      <c r="N13" s="6" t="inlineStr">
        <is>
          <t>https://www.youtube.com/watch?v=VRfm6RGVHf8</t>
        </is>
      </c>
      <c r="O13" s="6" t="inlineStr">
        <is>
          <t>https://ll.thespacedevs.com/2.3.0/launches/cc431873-0d35-491b-ae3e-360dc1a27846/?format=json</t>
        </is>
      </c>
      <c r="P13" s="2" t="inlineStr">
        <is>
          <t>cc431873-0d35-491b-ae3e-360dc1a27846</t>
        </is>
      </c>
    </row>
    <row r="14">
      <c r="A14" s="2" t="n">
        <v>13</v>
      </c>
      <c r="B14" s="3" t="n">
        <v>44016</v>
      </c>
      <c r="C14" s="2" t="inlineStr">
        <is>
          <t>21:19</t>
        </is>
      </c>
      <c r="D14" s="2" t="n">
        <v>2020</v>
      </c>
      <c r="E14" s="4" t="inlineStr">
        <is>
          <t>Pics Or It Didn’t Happen (Rideshare)</t>
        </is>
      </c>
      <c r="F14" s="5" t="inlineStr">
        <is>
          <t>fallito</t>
        </is>
      </c>
      <c r="G14" s="2" t="inlineStr">
        <is>
          <t>Dedicated Rideshare</t>
        </is>
      </c>
      <c r="H14" s="2" t="inlineStr">
        <is>
          <t>SSO</t>
        </is>
      </c>
      <c r="I14" s="4" t="inlineStr"/>
      <c r="J14" s="2" t="inlineStr">
        <is>
          <t>Rocket Lab Launch Complex 1A</t>
        </is>
      </c>
      <c r="K14" s="4" t="inlineStr">
        <is>
          <t>Rocket Lab Launch Complex 1, Mahia Peninsula, New Zealand</t>
        </is>
      </c>
      <c r="L14" s="4" t="inlineStr">
        <is>
          <t>‘Pics Or It Didn’t Happen’ is the 13th mission for Rocket Lab. It was planned to deploy seven imaging small satellites to a 500km circular low Earth orbit for a range of customers including Spaceflight Inc.’s customer Canon Electronics, as well as Planet and In-Space Missions.</t>
        </is>
      </c>
      <c r="M14" s="4" t="inlineStr">
        <is>
          <t>Launch vehicle suffered an anomaly during the second stage that resulted in the loss of the mission and all satellite payloads.</t>
        </is>
      </c>
      <c r="N14" s="6" t="inlineStr">
        <is>
          <t>https://www.youtube.com/watch?v=5ZcZoDFYjXc</t>
        </is>
      </c>
      <c r="O14" s="6" t="inlineStr">
        <is>
          <t>https://ll.thespacedevs.com/2.3.0/launches/e39e845d-91d5-4efd-b9c9-d8981d3505a2/?format=json</t>
        </is>
      </c>
      <c r="P14" s="2" t="inlineStr">
        <is>
          <t>e39e845d-91d5-4efd-b9c9-d8981d3505a2</t>
        </is>
      </c>
    </row>
    <row r="15">
      <c r="A15" s="2" t="n">
        <v>14</v>
      </c>
      <c r="B15" s="3" t="n">
        <v>44074</v>
      </c>
      <c r="C15" s="2" t="inlineStr">
        <is>
          <t>03:05</t>
        </is>
      </c>
      <c r="D15" s="2" t="n">
        <v>2020</v>
      </c>
      <c r="E15" s="4" t="inlineStr">
        <is>
          <t>I Can’t Believe It’s Not Optical (Capella 2 &amp; First Light)</t>
        </is>
      </c>
      <c r="F15" s="7" t="inlineStr">
        <is>
          <t>successo</t>
        </is>
      </c>
      <c r="G15" s="2" t="inlineStr">
        <is>
          <t>Earth Science</t>
        </is>
      </c>
      <c r="H15" s="2" t="inlineStr">
        <is>
          <t>LEO</t>
        </is>
      </c>
      <c r="I15" s="4" t="inlineStr"/>
      <c r="J15" s="2" t="inlineStr">
        <is>
          <t>Rocket Lab Launch Complex 1A</t>
        </is>
      </c>
      <c r="K15" s="4" t="inlineStr">
        <is>
          <t>Rocket Lab Launch Complex 1, Mahia Peninsula, New Zealand</t>
        </is>
      </c>
      <c r="L15" s="4" t="inlineStr">
        <is>
          <t>This return to flight mission is dedicated for Capella Space, an information services company providing Earth observation data on demand. Capella’s payload, ‘Sequoia’, is a single 100 kg class microsatellite which will be the first publicly available satellite in the company’s commercial Synthetic Aperture Radar (SAR) constellation. By positioning the satellite to a 45-degree inclination, Capella Space will maximize coverage over important areas such as the Middle East, Korea, Japan, Europe, South East Asia, Africa, and the U.S. The mission name is a nod to Capella’s SAR technology that provides high quality images of the Earth day or night, and in any weather conditions, as well as a nod to the infamous advertisement campaign for “I Can’t Believe It’s Not Butter”. Capella’s space-based radar can detect sub-0.5 meter changes on the surface of the Earth, providing insights and data that can be used for security, agricultural and infrastructure monitoring, as well as disaster response and recovery.</t>
        </is>
      </c>
      <c r="M15" s="4" t="inlineStr"/>
      <c r="N15" s="6" t="inlineStr">
        <is>
          <t>https://www.youtube.com/watch?v=FPIhI5mRDRI</t>
        </is>
      </c>
      <c r="O15" s="6" t="inlineStr">
        <is>
          <t>https://ll.thespacedevs.com/2.3.0/launches/a9526278-ef96-48ba-abbd-275f1370d6c0/?format=json</t>
        </is>
      </c>
      <c r="P15" s="2" t="inlineStr">
        <is>
          <t>a9526278-ef96-48ba-abbd-275f1370d6c0</t>
        </is>
      </c>
    </row>
    <row r="16">
      <c r="A16" s="2" t="n">
        <v>15</v>
      </c>
      <c r="B16" s="3" t="n">
        <v>44132</v>
      </c>
      <c r="C16" s="2" t="inlineStr">
        <is>
          <t>21:21</t>
        </is>
      </c>
      <c r="D16" s="2" t="n">
        <v>2020</v>
      </c>
      <c r="E16" s="4" t="inlineStr">
        <is>
          <t>In Focus (Rideshare)</t>
        </is>
      </c>
      <c r="F16" s="7" t="inlineStr">
        <is>
          <t>successo</t>
        </is>
      </c>
      <c r="G16" s="2" t="inlineStr">
        <is>
          <t>Dedicated Rideshare</t>
        </is>
      </c>
      <c r="H16" s="2" t="inlineStr">
        <is>
          <t>SSO</t>
        </is>
      </c>
      <c r="I16" s="4" t="inlineStr"/>
      <c r="J16" s="2" t="inlineStr">
        <is>
          <t>Rocket Lab Launch Complex 1A</t>
        </is>
      </c>
      <c r="K16" s="4" t="inlineStr">
        <is>
          <t>Rocket Lab Launch Complex 1, Mahia Peninsula, New Zealand</t>
        </is>
      </c>
      <c r="L16" s="4" t="inlineStr">
        <is>
          <t>"In Focus" is a rideshare mission carrying 10 Earth observation satellites for Planet and Canon Electronics.</t>
        </is>
      </c>
      <c r="M16" s="4" t="inlineStr"/>
      <c r="N16" s="6" t="inlineStr">
        <is>
          <t>https://www.youtube.com/watch?v=axXm-z2NzW8</t>
        </is>
      </c>
      <c r="O16" s="6" t="inlineStr">
        <is>
          <t>https://ll.thespacedevs.com/2.3.0/launches/c183a50f-fcc0-4cdc-8fa1-750d67ca5130/?format=json</t>
        </is>
      </c>
      <c r="P16" s="2" t="inlineStr">
        <is>
          <t>c183a50f-fcc0-4cdc-8fa1-750d67ca5130</t>
        </is>
      </c>
    </row>
    <row r="17">
      <c r="A17" s="2" t="n">
        <v>16</v>
      </c>
      <c r="B17" s="3" t="n">
        <v>44155</v>
      </c>
      <c r="C17" s="2" t="inlineStr">
        <is>
          <t>02:20</t>
        </is>
      </c>
      <c r="D17" s="2" t="n">
        <v>2020</v>
      </c>
      <c r="E17" s="4" t="inlineStr">
        <is>
          <t>Return to Sender (Rideshare)</t>
        </is>
      </c>
      <c r="F17" s="7" t="inlineStr">
        <is>
          <t>successo</t>
        </is>
      </c>
      <c r="G17" s="2" t="inlineStr">
        <is>
          <t>Dedicated Rideshare</t>
        </is>
      </c>
      <c r="H17" s="2" t="inlineStr">
        <is>
          <t>SSO</t>
        </is>
      </c>
      <c r="I17" s="4" t="inlineStr"/>
      <c r="J17" s="2" t="inlineStr">
        <is>
          <t>Rocket Lab Launch Complex 1A</t>
        </is>
      </c>
      <c r="K17" s="4" t="inlineStr">
        <is>
          <t>Rocket Lab Launch Complex 1, Mahia Peninsula, New Zealand</t>
        </is>
      </c>
      <c r="L17" s="4" t="inlineStr">
        <is>
          <t>"Return to Sender" will loft 30 satellites to a sun-synchronous orbit at 500 km altitude for a range of customers, including TriSept, Unseenlabs, Swarm, Te Pūnaha Ātea - Auckland Space Institute, and global gaming software company Valve. The satellites span a range of operations, from TriSept’s tech demonstration of new tether systems designed to accelerate spacecraft reentry and reduce orbital debris, through to the next generation of maritime surveillance satellites for Unseenlabs, as well as communications satellites for Swarm. The mission will also deploy New Zealand’s first student-built satellite, the APSS-1 satellite for Te Pūnaha Ātea - Auckland Space Institute at The University of Auckland. The DRAGRACER mission will test the effectiveness of new tether technologies designed to accelerate spacecraft reentry and reduce orbital debris at the conclusion of space missions. TriSept has completed the integration of a pair of qualified Millennium Space Systems 6U small satellites, one featuring the tether drag device and one without. The controlled spacecraft should deorbit in approximately 45 days, while the second spacecraft is expected to remain in orbit for seven to nine years. BRO-2 and BRO-3 are the second and third satellites in French company Unseenlabs’ planned constellation of about 20 satellites dedicated to maritime surveillance. Swarm will launch the latest 24 1/4U SpaceBEE satellites to continue building out its planned constellation of 150 satellites to provide affordable satellite communications services to IoT devices in remote regions around the world. The student-built Waka Āmiorangi Aotearoa APSS-1 satellite is designed to monitor electrical activity in Earth’s upper atmosphere to test whether ionospheric disturbances can predict earthquakes. Extra payload on this flight is a 150 mm 3D printed Half-Life Gnome Chompski. Created for Valve Software's co-founder Gabe Newell by design studio Weta Workshop, it serves as an homage to the innovation and creativity of gamers worldwide, and also aims to test and qualify a novel 3D printing technique that could be employed for future spacecraft components. Gnome will remain attached to the Kick Stage and will burn up on reentry. Besides payloads, this flight will also serve as a test of Electron's reusability. Rocket Lab will attempt to bring Electron’s first stage back to Earth under a parachute system for a controlled water landing before collection by a recovery vessel.</t>
        </is>
      </c>
      <c r="M17" s="4" t="inlineStr"/>
      <c r="N17" s="6" t="inlineStr">
        <is>
          <t>https://www.youtube.com/watch?v=eZGI_lHGltA</t>
        </is>
      </c>
      <c r="O17" s="6" t="inlineStr">
        <is>
          <t>https://ll.thespacedevs.com/2.3.0/launches/1514d38c-b1ed-4a4a-9878-04646f0b6b94/?format=json</t>
        </is>
      </c>
      <c r="P17" s="2" t="inlineStr">
        <is>
          <t>1514d38c-b1ed-4a4a-9878-04646f0b6b94</t>
        </is>
      </c>
    </row>
    <row r="18">
      <c r="A18" s="2" t="n">
        <v>17</v>
      </c>
      <c r="B18" s="3" t="n">
        <v>44180</v>
      </c>
      <c r="C18" s="2" t="inlineStr">
        <is>
          <t>10:09</t>
        </is>
      </c>
      <c r="D18" s="2" t="n">
        <v>2020</v>
      </c>
      <c r="E18" s="4" t="inlineStr">
        <is>
          <t>The Owl's Night Begins (StriX-α)</t>
        </is>
      </c>
      <c r="F18" s="7" t="inlineStr">
        <is>
          <t>successo</t>
        </is>
      </c>
      <c r="G18" s="2" t="inlineStr">
        <is>
          <t>Earth Science</t>
        </is>
      </c>
      <c r="H18" s="2" t="inlineStr">
        <is>
          <t>SSO</t>
        </is>
      </c>
      <c r="I18" s="4" t="inlineStr"/>
      <c r="J18" s="2" t="inlineStr">
        <is>
          <t>Rocket Lab Launch Complex 1A</t>
        </is>
      </c>
      <c r="K18" s="4" t="inlineStr">
        <is>
          <t>Rocket Lab Launch Complex 1, Mahia Peninsula, New Zealand</t>
        </is>
      </c>
      <c r="L18" s="4" t="inlineStr">
        <is>
          <t>StriX-α is a demonstration mission for Japanese company Synspective which plans to deploy a constellation of synthetic aperture radar satellites. For this mission, Rocket Lab will utilize a custom expanded fairing to encompass Synspective’s wide-body satellite – the first use of the expanded fairing options that Rocket Lab recently introduced.</t>
        </is>
      </c>
      <c r="M18" s="4" t="inlineStr"/>
      <c r="N18" s="6" t="inlineStr">
        <is>
          <t>https://www.youtube.com/watch?v=vU4PBX_SQWU</t>
        </is>
      </c>
      <c r="O18" s="6" t="inlineStr">
        <is>
          <t>https://ll.thespacedevs.com/2.3.0/launches/3277ea9a-9ce3-4e96-9d2a-dfd15155ea61/?format=json</t>
        </is>
      </c>
      <c r="P18" s="2" t="inlineStr">
        <is>
          <t>3277ea9a-9ce3-4e96-9d2a-dfd15155ea61</t>
        </is>
      </c>
    </row>
    <row r="19">
      <c r="A19" s="2" t="n">
        <v>18</v>
      </c>
      <c r="B19" s="3" t="n">
        <v>44216</v>
      </c>
      <c r="C19" s="2" t="inlineStr">
        <is>
          <t>07:26</t>
        </is>
      </c>
      <c r="D19" s="2" t="n">
        <v>2021</v>
      </c>
      <c r="E19" s="4" t="inlineStr">
        <is>
          <t>Another One Leaves The Crust (GMS-T)</t>
        </is>
      </c>
      <c r="F19" s="7" t="inlineStr">
        <is>
          <t>successo</t>
        </is>
      </c>
      <c r="G19" s="2" t="inlineStr">
        <is>
          <t>Communications</t>
        </is>
      </c>
      <c r="H19" s="2" t="inlineStr">
        <is>
          <t>PO</t>
        </is>
      </c>
      <c r="I19" s="4" t="inlineStr"/>
      <c r="J19" s="2" t="inlineStr">
        <is>
          <t>Rocket Lab Launch Complex 1A</t>
        </is>
      </c>
      <c r="K19" s="4" t="inlineStr">
        <is>
          <t>Rocket Lab Launch Complex 1, Mahia Peninsula, New Zealand</t>
        </is>
      </c>
      <c r="L19" s="4" t="inlineStr">
        <is>
          <t>Dedicated mission for a single communication microsatellite that will enable specific frequencies to support future services from orbit. The launch will be Rocket Lab’s 18th Electron mission.</t>
        </is>
      </c>
      <c r="M19" s="4" t="inlineStr"/>
      <c r="N19" s="6" t="inlineStr">
        <is>
          <t>https://www.youtube.com/watch?v=hdiL29s1PmE</t>
        </is>
      </c>
      <c r="O19" s="6" t="inlineStr">
        <is>
          <t>https://ll.thespacedevs.com/2.3.0/launches/68e50165-a929-424a-ab8b-ec7a1ae7465e/?format=json</t>
        </is>
      </c>
      <c r="P19" s="2" t="inlineStr">
        <is>
          <t>68e50165-a929-424a-ab8b-ec7a1ae7465e</t>
        </is>
      </c>
    </row>
    <row r="20">
      <c r="A20" s="2" t="n">
        <v>19</v>
      </c>
      <c r="B20" s="3" t="n">
        <v>44277</v>
      </c>
      <c r="C20" s="2" t="inlineStr">
        <is>
          <t>22:30</t>
        </is>
      </c>
      <c r="D20" s="2" t="n">
        <v>2021</v>
      </c>
      <c r="E20" s="4" t="inlineStr">
        <is>
          <t>They Go Up So Fast (Rideshare)</t>
        </is>
      </c>
      <c r="F20" s="7" t="inlineStr">
        <is>
          <t>successo</t>
        </is>
      </c>
      <c r="G20" s="2" t="inlineStr">
        <is>
          <t>Dedicated Rideshare</t>
        </is>
      </c>
      <c r="H20" s="2" t="inlineStr">
        <is>
          <t>SSO</t>
        </is>
      </c>
      <c r="I20" s="4" t="inlineStr"/>
      <c r="J20" s="2" t="inlineStr">
        <is>
          <t>Rocket Lab Launch Complex 1A</t>
        </is>
      </c>
      <c r="K20" s="4" t="inlineStr">
        <is>
          <t>Rocket Lab Launch Complex 1, Mahia Peninsula, New Zealand</t>
        </is>
      </c>
      <c r="L20" s="4" t="inlineStr">
        <is>
          <t>The Electron rocket will carry seven satellites to low Earth orbit: one Earth-observation satellite for BlackSky, two Internet-Of-Things (IoT) nanosatellites for companies Fleet Space and Myriota, a technology demonstration satellite for the University of New South Wales (UNSW) Canberra Space, a weather satellite pathfinder technology demonstration from Care Weather technologies, a technology demonstrator for the U.S. Army’s Space and Missile Defense Command as well as Rocket Lab’s in-house designed and built Photon Pathstone spacecraft which will operate on orbit as a risk reduction demonstration to build spacecraft heritage ahead of Rocket Lab’s mission to the Moon for NASA later this year.</t>
        </is>
      </c>
      <c r="M20" s="4" t="inlineStr"/>
      <c r="N20" s="6" t="inlineStr">
        <is>
          <t>https://www.youtube.com/watch?v=u5wmrGriVX0</t>
        </is>
      </c>
      <c r="O20" s="6" t="inlineStr">
        <is>
          <t>https://ll.thespacedevs.com/2.3.0/launches/dff2b6dc-933a-42b4-8d74-db543ada94bb/?format=json</t>
        </is>
      </c>
      <c r="P20" s="2" t="inlineStr">
        <is>
          <t>dff2b6dc-933a-42b4-8d74-db543ada94bb</t>
        </is>
      </c>
    </row>
    <row r="21">
      <c r="A21" s="2" t="n">
        <v>20</v>
      </c>
      <c r="B21" s="3" t="n">
        <v>44331</v>
      </c>
      <c r="C21" s="2" t="inlineStr">
        <is>
          <t>11:11</t>
        </is>
      </c>
      <c r="D21" s="2" t="n">
        <v>2021</v>
      </c>
      <c r="E21" s="4" t="inlineStr">
        <is>
          <t>Running Out of Toes (BlackSky 8-9)</t>
        </is>
      </c>
      <c r="F21" s="5" t="inlineStr">
        <is>
          <t>fallito</t>
        </is>
      </c>
      <c r="G21" s="2" t="inlineStr">
        <is>
          <t>Earth Science</t>
        </is>
      </c>
      <c r="H21" s="2" t="inlineStr">
        <is>
          <t>LEO</t>
        </is>
      </c>
      <c r="I21" s="4" t="inlineStr"/>
      <c r="J21" s="2" t="inlineStr">
        <is>
          <t>Rocket Lab Launch Complex 1A</t>
        </is>
      </c>
      <c r="K21" s="4" t="inlineStr">
        <is>
          <t>Rocket Lab Launch Complex 1, Mahia Peninsula, New Zealand</t>
        </is>
      </c>
      <c r="L21" s="4" t="inlineStr">
        <is>
          <t>This was the 20th launch of Electron rocket. It carried two Earth imaging microsatellites for BlackSky's constellation which were lost due to a launcher failure after second stage ignition.</t>
        </is>
      </c>
      <c r="M21" s="4" t="inlineStr">
        <is>
          <t>Unspecified issue shortly after stage two ignition</t>
        </is>
      </c>
      <c r="N21" s="6" t="inlineStr">
        <is>
          <t>https://www.youtube.com/watch?v=tpMDvYhNEvo</t>
        </is>
      </c>
      <c r="O21" s="6" t="inlineStr">
        <is>
          <t>https://ll.thespacedevs.com/2.3.0/launches/0c2347a5-73f1-462c-91f7-8aa8b917ab0d/?format=json</t>
        </is>
      </c>
      <c r="P21" s="2" t="inlineStr">
        <is>
          <t>0c2347a5-73f1-462c-91f7-8aa8b917ab0d</t>
        </is>
      </c>
    </row>
    <row r="22">
      <c r="A22" s="2" t="n">
        <v>21</v>
      </c>
      <c r="B22" s="3" t="n">
        <v>44406</v>
      </c>
      <c r="C22" s="2" t="inlineStr">
        <is>
          <t>06:00</t>
        </is>
      </c>
      <c r="D22" s="2" t="n">
        <v>2021</v>
      </c>
      <c r="E22" s="4" t="inlineStr">
        <is>
          <t>It’s a Little Chile Up Here (STP-27RM)</t>
        </is>
      </c>
      <c r="F22" s="7" t="inlineStr">
        <is>
          <t>successo</t>
        </is>
      </c>
      <c r="G22" s="2" t="inlineStr">
        <is>
          <t>Government/Top Secret</t>
        </is>
      </c>
      <c r="H22" s="2" t="inlineStr">
        <is>
          <t>LEO</t>
        </is>
      </c>
      <c r="I22" s="4" t="inlineStr"/>
      <c r="J22" s="2" t="inlineStr">
        <is>
          <t>Rocket Lab Launch Complex 1A</t>
        </is>
      </c>
      <c r="K22" s="4" t="inlineStr">
        <is>
          <t>Rocket Lab Launch Complex 1, Mahia Peninsula, New Zealand</t>
        </is>
      </c>
      <c r="L22" s="4" t="inlineStr">
        <is>
          <t>A U.S. Air Force experimental spacecraft. It will demonstrate the use of a deployable sensor, where the sensor’s mass is a substantial fraction of the total mass of the spacecraft and provide a platform to test future space protection capabilities.</t>
        </is>
      </c>
      <c r="M22" s="4" t="inlineStr"/>
      <c r="N22" s="6" t="inlineStr">
        <is>
          <t>https://www.youtube.com/watch?v=XEAKezzYi4Q</t>
        </is>
      </c>
      <c r="O22" s="6" t="inlineStr">
        <is>
          <t>https://ll.thespacedevs.com/2.3.0/launches/120c53d4-d3a1-42fe-b2a5-a63e3b11d72b/?format=json</t>
        </is>
      </c>
      <c r="P22" s="2" t="inlineStr">
        <is>
          <t>120c53d4-d3a1-42fe-b2a5-a63e3b11d72b</t>
        </is>
      </c>
    </row>
    <row r="23">
      <c r="A23" s="2" t="n">
        <v>22</v>
      </c>
      <c r="B23" s="3" t="n">
        <v>44518</v>
      </c>
      <c r="C23" s="2" t="inlineStr">
        <is>
          <t>01:38</t>
        </is>
      </c>
      <c r="D23" s="2" t="n">
        <v>2021</v>
      </c>
      <c r="E23" s="4" t="inlineStr">
        <is>
          <t>Love At First Insight (BlackSky 10-11)</t>
        </is>
      </c>
      <c r="F23" s="7" t="inlineStr">
        <is>
          <t>successo</t>
        </is>
      </c>
      <c r="G23" s="2" t="inlineStr">
        <is>
          <t>Earth Science</t>
        </is>
      </c>
      <c r="H23" s="2" t="inlineStr">
        <is>
          <t>SSO</t>
        </is>
      </c>
      <c r="I23" s="4" t="inlineStr"/>
      <c r="J23" s="2" t="inlineStr">
        <is>
          <t>Rocket Lab Launch Complex 1A</t>
        </is>
      </c>
      <c r="K23" s="4" t="inlineStr">
        <is>
          <t>Rocket Lab Launch Complex 1, Mahia Peninsula, New Zealand</t>
        </is>
      </c>
      <c r="L23" s="4" t="inlineStr">
        <is>
          <t>Payload consists of two BlackSky Gen-2 high-resolution multi-spectral Earth observation satellites.</t>
        </is>
      </c>
      <c r="M23" s="4" t="inlineStr"/>
      <c r="N23" s="6" t="inlineStr">
        <is>
          <t>https://www.youtube.com/watch?v=pEIJKuDio8I</t>
        </is>
      </c>
      <c r="O23" s="6" t="inlineStr">
        <is>
          <t>https://ll.thespacedevs.com/2.3.0/launches/3985e602-f22f-441f-a0b1-a450ea459da9/?format=json</t>
        </is>
      </c>
      <c r="P23" s="2" t="inlineStr">
        <is>
          <t>3985e602-f22f-441f-a0b1-a450ea459da9</t>
        </is>
      </c>
    </row>
    <row r="24">
      <c r="A24" s="2" t="n">
        <v>23</v>
      </c>
      <c r="B24" s="3" t="n">
        <v>44539</v>
      </c>
      <c r="C24" s="2" t="inlineStr">
        <is>
          <t>00:02</t>
        </is>
      </c>
      <c r="D24" s="2" t="n">
        <v>2021</v>
      </c>
      <c r="E24" s="4" t="inlineStr">
        <is>
          <t>A Data With Destiny (BlackSky 14-15)</t>
        </is>
      </c>
      <c r="F24" s="7" t="inlineStr">
        <is>
          <t>successo</t>
        </is>
      </c>
      <c r="G24" s="2" t="inlineStr">
        <is>
          <t>Earth Science</t>
        </is>
      </c>
      <c r="H24" s="2" t="inlineStr">
        <is>
          <t>SSO</t>
        </is>
      </c>
      <c r="I24" s="4" t="inlineStr"/>
      <c r="J24" s="2" t="inlineStr">
        <is>
          <t>Rocket Lab Launch Complex 1A</t>
        </is>
      </c>
      <c r="K24" s="4" t="inlineStr">
        <is>
          <t>Rocket Lab Launch Complex 1, Mahia Peninsula, New Zealand</t>
        </is>
      </c>
      <c r="L24" s="4" t="inlineStr">
        <is>
          <t>Payload consists of two BlackSky Gen-2 high-resolution multi-spectral Earth observation satellites.</t>
        </is>
      </c>
      <c r="M24" s="4" t="inlineStr"/>
      <c r="N24" s="6" t="inlineStr">
        <is>
          <t>https://www.youtube.com/watch?v=lsER2WVK1t8</t>
        </is>
      </c>
      <c r="O24" s="6" t="inlineStr">
        <is>
          <t>https://ll.thespacedevs.com/2.3.0/launches/029615cc-ef67-4a1e-b98e-08bdbfb3ae7e/?format=json</t>
        </is>
      </c>
      <c r="P24" s="2" t="inlineStr">
        <is>
          <t>029615cc-ef67-4a1e-b98e-08bdbfb3ae7e</t>
        </is>
      </c>
    </row>
    <row r="25">
      <c r="A25" s="2" t="n">
        <v>24</v>
      </c>
      <c r="B25" s="3" t="n">
        <v>44620</v>
      </c>
      <c r="C25" s="2" t="inlineStr">
        <is>
          <t>20:37</t>
        </is>
      </c>
      <c r="D25" s="2" t="n">
        <v>2022</v>
      </c>
      <c r="E25" s="4" t="inlineStr">
        <is>
          <t>The Owl’s Night Continues (StriX-β)</t>
        </is>
      </c>
      <c r="F25" s="7" t="inlineStr">
        <is>
          <t>successo</t>
        </is>
      </c>
      <c r="G25" s="2" t="inlineStr">
        <is>
          <t>Earth Science</t>
        </is>
      </c>
      <c r="H25" s="2" t="inlineStr">
        <is>
          <t>SSO</t>
        </is>
      </c>
      <c r="I25" s="4" t="inlineStr"/>
      <c r="J25" s="2" t="inlineStr">
        <is>
          <t>Rocket Lab Launch Complex 1B</t>
        </is>
      </c>
      <c r="K25" s="4" t="inlineStr">
        <is>
          <t>Rocket Lab Launch Complex 1, Mahia Peninsula, New Zealand</t>
        </is>
      </c>
      <c r="L25" s="4" t="inlineStr">
        <is>
          <t>StriX β is a Japanese synthetic aperture radar satellite built by Synspective as a demonstrator for their planned 25 satellite constellation. It will feature an X-band synthetic aperture radar. StriX β is an upgraded version of the StriX α prototype. The satellite features two deployable panes, one side carrying solar cells, the other carrying the X-band radar antenna. The StriX satellite constellation can target data with a ground resolution of 1-3 m, single polarized (VV), and a swath width of more than 10-30 km. The StriX observation modes are Stripmap and Sliding Spotlight mode and each satellite has an SAR antenna that is 5 meters in length and stowed during launch. The simple design of the satellites allows for affordable development of the constellation. StriX β was planned to be launched in 2021 on a Soyuz-2-1a Fregat or Soyuz-2-1b Fregat rideshare mission, but as this mission was delayed, it was re-booked on a dedicated Electron KS launch. Synspective is planning a constellation of 25 satellites called StriX, comprised of 100-kilogram satellites capable of imaging at a resolution of one to three meters. By 2022 the company plans to have six satellites in orbit. The company has not set a date by which it hopes to achieve 25 satellites.</t>
        </is>
      </c>
      <c r="M25" s="4" t="inlineStr"/>
      <c r="N25" s="6" t="inlineStr">
        <is>
          <t>https://www.youtube.com/watch?v=hJGBizdx2pE</t>
        </is>
      </c>
      <c r="O25" s="6" t="inlineStr">
        <is>
          <t>https://ll.thespacedevs.com/2.3.0/launches/1e5862a8-2ede-4e87-ac45-69422590ab9b/?format=json</t>
        </is>
      </c>
      <c r="P25" s="2" t="inlineStr">
        <is>
          <t>1e5862a8-2ede-4e87-ac45-69422590ab9b</t>
        </is>
      </c>
    </row>
    <row r="26">
      <c r="A26" s="2" t="n">
        <v>25</v>
      </c>
      <c r="B26" s="3" t="n">
        <v>44653</v>
      </c>
      <c r="C26" s="2" t="inlineStr">
        <is>
          <t>12:41</t>
        </is>
      </c>
      <c r="D26" s="2" t="n">
        <v>2022</v>
      </c>
      <c r="E26" s="4" t="inlineStr">
        <is>
          <t>Without Mission A Beat (BlackSky 16-17)</t>
        </is>
      </c>
      <c r="F26" s="7" t="inlineStr">
        <is>
          <t>successo</t>
        </is>
      </c>
      <c r="G26" s="2" t="inlineStr">
        <is>
          <t>Earth Science</t>
        </is>
      </c>
      <c r="H26" s="2" t="inlineStr">
        <is>
          <t>SSO</t>
        </is>
      </c>
      <c r="I26" s="4" t="inlineStr"/>
      <c r="J26" s="2" t="inlineStr">
        <is>
          <t>Rocket Lab Launch Complex 1A</t>
        </is>
      </c>
      <c r="K26" s="4" t="inlineStr">
        <is>
          <t>Rocket Lab Launch Complex 1, Mahia Peninsula, New Zealand</t>
        </is>
      </c>
      <c r="L26" s="4" t="inlineStr">
        <is>
          <t>Payload consists of two BlackSky Gen-2 high-resolution multi-spectral Earth observation satellites.</t>
        </is>
      </c>
      <c r="M26" s="4" t="inlineStr"/>
      <c r="N26" s="6" t="inlineStr">
        <is>
          <t>https://www.youtube.com/watch?v=prV1YD6mVE4</t>
        </is>
      </c>
      <c r="O26" s="6" t="inlineStr">
        <is>
          <t>https://ll.thespacedevs.com/2.3.0/launches/d1976b9e-46e5-41d2-9d0d-aa76f6c19ef8/?format=json</t>
        </is>
      </c>
      <c r="P26" s="2" t="inlineStr">
        <is>
          <t>d1976b9e-46e5-41d2-9d0d-aa76f6c19ef8</t>
        </is>
      </c>
    </row>
    <row r="27">
      <c r="A27" s="2" t="n">
        <v>26</v>
      </c>
      <c r="B27" s="3" t="n">
        <v>44683</v>
      </c>
      <c r="C27" s="2" t="inlineStr">
        <is>
          <t>22:49</t>
        </is>
      </c>
      <c r="D27" s="2" t="n">
        <v>2022</v>
      </c>
      <c r="E27" s="4" t="inlineStr">
        <is>
          <t>There and Back Again (Rideshare)</t>
        </is>
      </c>
      <c r="F27" s="7" t="inlineStr">
        <is>
          <t>successo</t>
        </is>
      </c>
      <c r="G27" s="2" t="inlineStr">
        <is>
          <t>Dedicated Rideshare</t>
        </is>
      </c>
      <c r="H27" s="2" t="inlineStr">
        <is>
          <t>SSO</t>
        </is>
      </c>
      <c r="I27" s="4" t="inlineStr"/>
      <c r="J27" s="2" t="inlineStr">
        <is>
          <t>Rocket Lab Launch Complex 1A</t>
        </is>
      </c>
      <c r="K27" s="4" t="inlineStr">
        <is>
          <t>Rocket Lab Launch Complex 1, Mahia Peninsula, New Zealand</t>
        </is>
      </c>
      <c r="L27" s="4" t="inlineStr">
        <is>
          <t>Commercial rideshare mission including payloads for Alba Orbital, Astrix Astronautics, Aurora Propulsion Technologies, E-Space, Spaceflight Inc, Swarm Technologies and UNSEENLABS.</t>
        </is>
      </c>
      <c r="M27" s="4" t="inlineStr"/>
      <c r="N27" s="6" t="inlineStr">
        <is>
          <t>https://www.youtube.com/watch?v=K7vb5btFqy4</t>
        </is>
      </c>
      <c r="O27" s="6" t="inlineStr">
        <is>
          <t>https://ll.thespacedevs.com/2.3.0/launches/5e915de9-f574-433b-bf39-d90b616c0e8b/?format=json</t>
        </is>
      </c>
      <c r="P27" s="2" t="inlineStr">
        <is>
          <t>5e915de9-f574-433b-bf39-d90b616c0e8b</t>
        </is>
      </c>
    </row>
    <row r="28">
      <c r="A28" s="2" t="n">
        <v>27</v>
      </c>
      <c r="B28" s="3" t="n">
        <v>44740</v>
      </c>
      <c r="C28" s="2" t="inlineStr">
        <is>
          <t>09:55</t>
        </is>
      </c>
      <c r="D28" s="2" t="n">
        <v>2022</v>
      </c>
      <c r="E28" s="4" t="inlineStr">
        <is>
          <t>CAPSTONE</t>
        </is>
      </c>
      <c r="F28" s="7" t="inlineStr">
        <is>
          <t>successo</t>
        </is>
      </c>
      <c r="G28" s="2" t="inlineStr">
        <is>
          <t>Planetary Science</t>
        </is>
      </c>
      <c r="H28" s="2" t="inlineStr">
        <is>
          <t>LO</t>
        </is>
      </c>
      <c r="I28" s="4" t="inlineStr">
        <is>
          <t>National Aeronautics and Space Administration</t>
        </is>
      </c>
      <c r="J28" s="2" t="inlineStr">
        <is>
          <t>Rocket Lab Launch Complex 1B</t>
        </is>
      </c>
      <c r="K28" s="4" t="inlineStr">
        <is>
          <t>Rocket Lab Launch Complex 1, Mahia Peninsula, New Zealand</t>
        </is>
      </c>
      <c r="L28" s="4" t="inlineStr">
        <is>
          <t>CAPSTONE (Cislunar Autonomous Positioning System Technology Operations and Navigation Experiment) is a 12-U cubesat mission to test operations in near rectiliniar halo orbit around the Moon, which is to be used for the Lunar Gateway space station. Mission will verify the near rectilinear halo orbit characteristics, spacecraft-to-spacecraft navigation services in that orbit, and provide valuable experience of small sat launch to the Moon.</t>
        </is>
      </c>
      <c r="M28" s="4" t="inlineStr"/>
      <c r="N28" s="6" t="inlineStr">
        <is>
          <t>https://www.youtube.com/watch?v=JGx400xCDVY</t>
        </is>
      </c>
      <c r="O28" s="6" t="inlineStr">
        <is>
          <t>https://ll.thespacedevs.com/2.3.0/launches/859bf952-b4c6-40fb-a7e7-ac12efc386b2/?format=json</t>
        </is>
      </c>
      <c r="P28" s="2" t="inlineStr">
        <is>
          <t>859bf952-b4c6-40fb-a7e7-ac12efc386b2</t>
        </is>
      </c>
    </row>
    <row r="29">
      <c r="A29" s="2" t="n">
        <v>28</v>
      </c>
      <c r="B29" s="3" t="n">
        <v>44755</v>
      </c>
      <c r="C29" s="2" t="inlineStr">
        <is>
          <t>06:30</t>
        </is>
      </c>
      <c r="D29" s="2" t="n">
        <v>2022</v>
      </c>
      <c r="E29" s="4" t="inlineStr">
        <is>
          <t>NROL-162 (RASR-3)</t>
        </is>
      </c>
      <c r="F29" s="7" t="inlineStr">
        <is>
          <t>successo</t>
        </is>
      </c>
      <c r="G29" s="2" t="inlineStr">
        <is>
          <t>Government/Top Secret</t>
        </is>
      </c>
      <c r="H29" s="2" t="inlineStr">
        <is>
          <t>LEO</t>
        </is>
      </c>
      <c r="I29" s="4" t="inlineStr">
        <is>
          <t>National Reconnaissance Office</t>
        </is>
      </c>
      <c r="J29" s="2" t="inlineStr">
        <is>
          <t>Rocket Lab Launch Complex 1A</t>
        </is>
      </c>
      <c r="K29" s="4" t="inlineStr">
        <is>
          <t>Rocket Lab Launch Complex 1, Mahia Peninsula, New Zealand</t>
        </is>
      </c>
      <c r="L29" s="4" t="inlineStr">
        <is>
          <t>Classified payload for the US National Reconnaissance Office (NRO).</t>
        </is>
      </c>
      <c r="M29" s="4" t="inlineStr"/>
      <c r="N29" s="6" t="inlineStr">
        <is>
          <t>https://www.youtube.com/watch?v=f6Nphz4f9oY</t>
        </is>
      </c>
      <c r="O29" s="6" t="inlineStr">
        <is>
          <t>https://ll.thespacedevs.com/2.3.0/launches/6e99b22c-1a27-428c-96f3-c868b8b53cfe/?format=json</t>
        </is>
      </c>
      <c r="P29" s="2" t="inlineStr">
        <is>
          <t>6e99b22c-1a27-428c-96f3-c868b8b53cfe</t>
        </is>
      </c>
    </row>
    <row r="30">
      <c r="A30" s="2" t="n">
        <v>29</v>
      </c>
      <c r="B30" s="3" t="n">
        <v>44777</v>
      </c>
      <c r="C30" s="2" t="inlineStr">
        <is>
          <t>05:00</t>
        </is>
      </c>
      <c r="D30" s="2" t="n">
        <v>2022</v>
      </c>
      <c r="E30" s="4" t="inlineStr">
        <is>
          <t>NROL-199 (RASR-4)</t>
        </is>
      </c>
      <c r="F30" s="7" t="inlineStr">
        <is>
          <t>successo</t>
        </is>
      </c>
      <c r="G30" s="2" t="inlineStr">
        <is>
          <t>Government/Top Secret</t>
        </is>
      </c>
      <c r="H30" s="2" t="inlineStr">
        <is>
          <t>LEO</t>
        </is>
      </c>
      <c r="I30" s="4" t="inlineStr">
        <is>
          <t>National Reconnaissance Office</t>
        </is>
      </c>
      <c r="J30" s="2" t="inlineStr">
        <is>
          <t>Rocket Lab Launch Complex 1B</t>
        </is>
      </c>
      <c r="K30" s="4" t="inlineStr">
        <is>
          <t>Rocket Lab Launch Complex 1, Mahia Peninsula, New Zealand</t>
        </is>
      </c>
      <c r="L30" s="4" t="inlineStr">
        <is>
          <t>Classified payload for the US National Reconnaissance Office (NRO).</t>
        </is>
      </c>
      <c r="M30" s="4" t="inlineStr"/>
      <c r="N30" s="6" t="inlineStr">
        <is>
          <t>https://www.youtube.com/watch?v=ij94xGiXB5Q</t>
        </is>
      </c>
      <c r="O30" s="6" t="inlineStr">
        <is>
          <t>https://ll.thespacedevs.com/2.3.0/launches/a665afda-9e5d-478c-b185-3e7883846d78/?format=json</t>
        </is>
      </c>
      <c r="P30" s="2" t="inlineStr">
        <is>
          <t>a665afda-9e5d-478c-b185-3e7883846d78</t>
        </is>
      </c>
    </row>
    <row r="31">
      <c r="A31" s="2" t="n">
        <v>30</v>
      </c>
      <c r="B31" s="3" t="n">
        <v>44819</v>
      </c>
      <c r="C31" s="2" t="inlineStr">
        <is>
          <t>20:38</t>
        </is>
      </c>
      <c r="D31" s="2" t="n">
        <v>2022</v>
      </c>
      <c r="E31" s="4" t="inlineStr">
        <is>
          <t>The Owl Spreads Its Wings (StriX 1)</t>
        </is>
      </c>
      <c r="F31" s="7" t="inlineStr">
        <is>
          <t>successo</t>
        </is>
      </c>
      <c r="G31" s="2" t="inlineStr">
        <is>
          <t>Earth Science</t>
        </is>
      </c>
      <c r="H31" s="2" t="inlineStr">
        <is>
          <t>SSO</t>
        </is>
      </c>
      <c r="I31" s="4" t="inlineStr"/>
      <c r="J31" s="2" t="inlineStr">
        <is>
          <t>Rocket Lab Launch Complex 1B</t>
        </is>
      </c>
      <c r="K31" s="4" t="inlineStr">
        <is>
          <t>Rocket Lab Launch Complex 1, Mahia Peninsula, New Zealand</t>
        </is>
      </c>
      <c r="L31" s="4" t="inlineStr">
        <is>
          <t>Second of three launches of a StriX satellite as part of Synspective’s SAR constellation. StriX-1 can gather high resolution Earth observation data regardless of conditions or daylight, offering a resilient and effective resource for the purposes of urban development, infrastructure monitoring, and disaster response.</t>
        </is>
      </c>
      <c r="M31" s="4" t="inlineStr"/>
      <c r="N31" s="6" t="inlineStr">
        <is>
          <t>https://www.youtube.com/watch?v=I9aYHnHaFAk</t>
        </is>
      </c>
      <c r="O31" s="6" t="inlineStr">
        <is>
          <t>https://ll.thespacedevs.com/2.3.0/launches/36bf2bad-839f-4aa6-9726-634be33e57aa/?format=json</t>
        </is>
      </c>
      <c r="P31" s="2" t="inlineStr">
        <is>
          <t>36bf2bad-839f-4aa6-9726-634be33e57aa</t>
        </is>
      </c>
    </row>
    <row r="32">
      <c r="A32" s="2" t="n">
        <v>31</v>
      </c>
      <c r="B32" s="3" t="n">
        <v>44841</v>
      </c>
      <c r="C32" s="2" t="inlineStr">
        <is>
          <t>17:09</t>
        </is>
      </c>
      <c r="D32" s="2" t="n">
        <v>2022</v>
      </c>
      <c r="E32" s="4" t="inlineStr">
        <is>
          <t>It Argos Up From Here (GAzelle)</t>
        </is>
      </c>
      <c r="F32" s="7" t="inlineStr">
        <is>
          <t>successo</t>
        </is>
      </c>
      <c r="G32" s="2" t="inlineStr">
        <is>
          <t>Technology</t>
        </is>
      </c>
      <c r="H32" s="2" t="inlineStr">
        <is>
          <t>SSO</t>
        </is>
      </c>
      <c r="I32" s="4" t="inlineStr"/>
      <c r="J32" s="2" t="inlineStr">
        <is>
          <t>Rocket Lab Launch Complex 1B</t>
        </is>
      </c>
      <c r="K32" s="4" t="inlineStr">
        <is>
          <t>Rocket Lab Launch Complex 1, Mahia Peninsula, New Zealand</t>
        </is>
      </c>
      <c r="L32" s="4" t="inlineStr">
        <is>
          <t>The “It Argos Up From Here” mission will launch the General Atomics Electromagnetic Systems designed and manufactured satellite GAzelle, carrying Argos-4 Advanced Data Collection System (A-DCS) hosted payload, part of the international Argos program that collects data from thousands of sensors and transmitters located around the world.</t>
        </is>
      </c>
      <c r="M32" s="4" t="inlineStr"/>
      <c r="N32" s="6" t="inlineStr">
        <is>
          <t>https://www.youtube.com/watch?v=TffmQR1K04M</t>
        </is>
      </c>
      <c r="O32" s="6" t="inlineStr">
        <is>
          <t>https://ll.thespacedevs.com/2.3.0/launches/339e0c8c-3f24-45ef-9542-e2e26bde7869/?format=json</t>
        </is>
      </c>
      <c r="P32" s="2" t="inlineStr">
        <is>
          <t>339e0c8c-3f24-45ef-9542-e2e26bde7869</t>
        </is>
      </c>
    </row>
    <row r="33">
      <c r="A33" s="2" t="n">
        <v>32</v>
      </c>
      <c r="B33" s="3" t="n">
        <v>44869</v>
      </c>
      <c r="C33" s="2" t="inlineStr">
        <is>
          <t>17:27</t>
        </is>
      </c>
      <c r="D33" s="2" t="n">
        <v>2022</v>
      </c>
      <c r="E33" s="4" t="inlineStr">
        <is>
          <t>Catch Me If You Can (MATS)</t>
        </is>
      </c>
      <c r="F33" s="7" t="inlineStr">
        <is>
          <t>successo</t>
        </is>
      </c>
      <c r="G33" s="2" t="inlineStr">
        <is>
          <t>Earth Science</t>
        </is>
      </c>
      <c r="H33" s="2" t="inlineStr">
        <is>
          <t>SSO</t>
        </is>
      </c>
      <c r="I33" s="4" t="inlineStr"/>
      <c r="J33" s="2" t="inlineStr">
        <is>
          <t>Rocket Lab Launch Complex 1B</t>
        </is>
      </c>
      <c r="K33" s="4" t="inlineStr">
        <is>
          <t>Rocket Lab Launch Complex 1, Mahia Peninsula, New Zealand</t>
        </is>
      </c>
      <c r="L33" s="4" t="inlineStr">
        <is>
          <t>The payload is a science research satellite by space systems provider OHB Sweden for the Swedish National Space Agency (SNSA). The Mesospheric Airglow/Aerosol Tomography and Spectroscopy (MATS) satellite is the basis for the SNSA’s science mission to investigate atmospheric waves and better understand how the upper layer of Earth’s atmosphere interacts with wind and weather patterns closer to the ground. MATS was originally due to fly on a Russian launch service before the mission was manifested on Rocket Lab’s Electron.</t>
        </is>
      </c>
      <c r="M33" s="4" t="inlineStr"/>
      <c r="N33" s="6" t="inlineStr">
        <is>
          <t>https://www.youtube.com/watch?v=PVTwEn9GdsA</t>
        </is>
      </c>
      <c r="O33" s="6" t="inlineStr">
        <is>
          <t>https://ll.thespacedevs.com/2.3.0/launches/fe5dfe98-f541-4ed9-a98a-d19d5da7c983/?format=json</t>
        </is>
      </c>
      <c r="P33" s="2" t="inlineStr">
        <is>
          <t>fe5dfe98-f541-4ed9-a98a-d19d5da7c983</t>
        </is>
      </c>
    </row>
    <row r="34">
      <c r="A34" s="2" t="n">
        <v>33</v>
      </c>
      <c r="B34" s="3" t="n">
        <v>44950</v>
      </c>
      <c r="C34" s="2" t="inlineStr">
        <is>
          <t>23:00</t>
        </is>
      </c>
      <c r="D34" s="2" t="n">
        <v>2023</v>
      </c>
      <c r="E34" s="4" t="inlineStr">
        <is>
          <t>Virginia is for Launch Lovers (Hawk 6A-C)</t>
        </is>
      </c>
      <c r="F34" s="7" t="inlineStr">
        <is>
          <t>successo</t>
        </is>
      </c>
      <c r="G34" s="2" t="inlineStr">
        <is>
          <t>Dedicated Rideshare</t>
        </is>
      </c>
      <c r="H34" s="2" t="inlineStr">
        <is>
          <t>LEO</t>
        </is>
      </c>
      <c r="I34" s="4" t="inlineStr">
        <is>
          <t>HawkEye 360</t>
        </is>
      </c>
      <c r="J34" s="2" t="inlineStr">
        <is>
          <t>Rocket Lab Launch Complex 2 (Launch Area 0 C)</t>
        </is>
      </c>
      <c r="K34" s="4" t="inlineStr">
        <is>
          <t>Wallops Flight Facility, Virginia, USA</t>
        </is>
      </c>
      <c r="L34" s="4" t="inlineStr">
        <is>
          <t>Rideshare mission with 3 HawkEye 360 satellites.</t>
        </is>
      </c>
      <c r="M34" s="4" t="inlineStr"/>
      <c r="N34" s="6" t="inlineStr">
        <is>
          <t>https://www.youtube.com/watch?v=y8XAKyLndD8</t>
        </is>
      </c>
      <c r="O34" s="6" t="inlineStr">
        <is>
          <t>https://ll.thespacedevs.com/2.3.0/launches/32a2e219-e8d3-4369-822c-3e5d33941253/?format=json</t>
        </is>
      </c>
      <c r="P34" s="2" t="inlineStr">
        <is>
          <t>32a2e219-e8d3-4369-822c-3e5d33941253</t>
        </is>
      </c>
    </row>
    <row r="35">
      <c r="A35" s="2" t="n">
        <v>34</v>
      </c>
      <c r="B35" s="3" t="n">
        <v>45001</v>
      </c>
      <c r="C35" s="2" t="inlineStr">
        <is>
          <t>22:38</t>
        </is>
      </c>
      <c r="D35" s="2" t="n">
        <v>2023</v>
      </c>
      <c r="E35" s="4" t="inlineStr">
        <is>
          <t>Stronger Together (Capella 9-10)</t>
        </is>
      </c>
      <c r="F35" s="7" t="inlineStr">
        <is>
          <t>successo</t>
        </is>
      </c>
      <c r="G35" s="2" t="inlineStr">
        <is>
          <t>Earth Science</t>
        </is>
      </c>
      <c r="H35" s="2" t="inlineStr">
        <is>
          <t>LEO</t>
        </is>
      </c>
      <c r="I35" s="4" t="inlineStr"/>
      <c r="J35" s="2" t="inlineStr">
        <is>
          <t>Rocket Lab Launch Complex 2 (Launch Area 0 C)</t>
        </is>
      </c>
      <c r="K35" s="4" t="inlineStr">
        <is>
          <t>Wallops Flight Facility, Virginia, USA</t>
        </is>
      </c>
      <c r="L35" s="4" t="inlineStr">
        <is>
          <t>Payload consists of 2 Synthetic Aperture Radar (SAR) satellites for Capella Space. These 100-kg class satellites will expand Capella’s existing SAR constellation, increasing imaging capacity to meet growing customer demand.</t>
        </is>
      </c>
      <c r="M35" s="4" t="inlineStr"/>
      <c r="N35" s="6" t="inlineStr">
        <is>
          <t>https://www.youtube.com/watch?v=xIMaf8X0FlM</t>
        </is>
      </c>
      <c r="O35" s="6" t="inlineStr">
        <is>
          <t>https://ll.thespacedevs.com/2.3.0/launches/60ee4dbe-680d-40f5-8831-dadb325c7677/?format=json</t>
        </is>
      </c>
      <c r="P35" s="2" t="inlineStr">
        <is>
          <t>60ee4dbe-680d-40f5-8831-dadb325c7677</t>
        </is>
      </c>
    </row>
    <row r="36">
      <c r="A36" s="2" t="n">
        <v>35</v>
      </c>
      <c r="B36" s="3" t="n">
        <v>45009</v>
      </c>
      <c r="C36" s="2" t="inlineStr">
        <is>
          <t>09:14</t>
        </is>
      </c>
      <c r="D36" s="2" t="n">
        <v>2023</v>
      </c>
      <c r="E36" s="4" t="inlineStr">
        <is>
          <t>The Beat Goes On (BlackSky 18-19)</t>
        </is>
      </c>
      <c r="F36" s="7" t="inlineStr">
        <is>
          <t>successo</t>
        </is>
      </c>
      <c r="G36" s="2" t="inlineStr">
        <is>
          <t>Earth Science</t>
        </is>
      </c>
      <c r="H36" s="2" t="inlineStr">
        <is>
          <t>LEO</t>
        </is>
      </c>
      <c r="I36" s="4" t="inlineStr"/>
      <c r="J36" s="2" t="inlineStr">
        <is>
          <t>Rocket Lab Launch Complex 1B</t>
        </is>
      </c>
      <c r="K36" s="4" t="inlineStr">
        <is>
          <t>Rocket Lab Launch Complex 1, Mahia Peninsula, New Zealand</t>
        </is>
      </c>
      <c r="L36" s="4" t="inlineStr">
        <is>
          <t>Payload consists of 2 second generation Earth-imaging satellites for BlackSky. They are part of a constellation of 60 Low Earth Orbit Earth imaging satellites adding capacity to the company’s real-time geospatial intelligence and monitoring capabilities.</t>
        </is>
      </c>
      <c r="M36" s="4" t="inlineStr"/>
      <c r="N36" s="6" t="inlineStr">
        <is>
          <t>https://www.youtube.com/watch?v=rvPcY3SrgAs</t>
        </is>
      </c>
      <c r="O36" s="6" t="inlineStr">
        <is>
          <t>https://ll.thespacedevs.com/2.3.0/launches/8089a091-9b40-45d4-b68d-322b49a2bcba/?format=json</t>
        </is>
      </c>
      <c r="P36" s="2" t="inlineStr">
        <is>
          <t>8089a091-9b40-45d4-b68d-322b49a2bcba</t>
        </is>
      </c>
    </row>
    <row r="37">
      <c r="A37" s="2" t="n">
        <v>36</v>
      </c>
      <c r="B37" s="3" t="n">
        <v>45054</v>
      </c>
      <c r="C37" s="2" t="inlineStr">
        <is>
          <t>01:00</t>
        </is>
      </c>
      <c r="D37" s="2" t="n">
        <v>2023</v>
      </c>
      <c r="E37" s="4" t="inlineStr">
        <is>
          <t>TROPICS-2</t>
        </is>
      </c>
      <c r="F37" s="7" t="inlineStr">
        <is>
          <t>successo</t>
        </is>
      </c>
      <c r="G37" s="2" t="inlineStr">
        <is>
          <t>Earth Science</t>
        </is>
      </c>
      <c r="H37" s="2" t="inlineStr">
        <is>
          <t>LEO</t>
        </is>
      </c>
      <c r="I37" s="4" t="inlineStr">
        <is>
          <t>National Aeronautics and Space Administration</t>
        </is>
      </c>
      <c r="J37" s="2" t="inlineStr">
        <is>
          <t>Rocket Lab Launch Complex 1B</t>
        </is>
      </c>
      <c r="K37" s="4" t="inlineStr">
        <is>
          <t>Rocket Lab Launch Complex 1, Mahia Peninsula, New Zealand</t>
        </is>
      </c>
      <c r="L37" s="4" t="inlineStr">
        <is>
          <t>Third and fourth operational (TROPICS-04 &amp; TROPICS-05) satellites for NASA's Time-Resolved Observations of Precipitation Structure and Storm Intensity with a Constellation of SmallSats (TROPICS) mission. The CubeSats are designed to provide rapid-refresh microwave measurements that can be used to determine temperature, pressure, and humidity inside hurricanes as they form and evolve.</t>
        </is>
      </c>
      <c r="M37" s="4" t="inlineStr"/>
      <c r="N37" s="6" t="inlineStr">
        <is>
          <t>https://www.youtube.com/watch?v=N3prw-94wQc</t>
        </is>
      </c>
      <c r="O37" s="6" t="inlineStr">
        <is>
          <t>https://ll.thespacedevs.com/2.3.0/launches/e870fe28-c5d5-4c3d-be4f-aaddd061ea18/?format=json</t>
        </is>
      </c>
      <c r="P37" s="2" t="inlineStr">
        <is>
          <t>e870fe28-c5d5-4c3d-be4f-aaddd061ea18</t>
        </is>
      </c>
    </row>
    <row r="38">
      <c r="A38" s="2" t="n">
        <v>37</v>
      </c>
      <c r="B38" s="3" t="n">
        <v>45072</v>
      </c>
      <c r="C38" s="2" t="inlineStr">
        <is>
          <t>03:46</t>
        </is>
      </c>
      <c r="D38" s="2" t="n">
        <v>2023</v>
      </c>
      <c r="E38" s="4" t="inlineStr">
        <is>
          <t>TROPICS-3</t>
        </is>
      </c>
      <c r="F38" s="7" t="inlineStr">
        <is>
          <t>successo</t>
        </is>
      </c>
      <c r="G38" s="2" t="inlineStr">
        <is>
          <t>Earth Science</t>
        </is>
      </c>
      <c r="H38" s="2" t="inlineStr">
        <is>
          <t>LEO</t>
        </is>
      </c>
      <c r="I38" s="4" t="inlineStr">
        <is>
          <t>National Aeronautics and Space Administration</t>
        </is>
      </c>
      <c r="J38" s="2" t="inlineStr">
        <is>
          <t>Rocket Lab Launch Complex 1B</t>
        </is>
      </c>
      <c r="K38" s="4" t="inlineStr">
        <is>
          <t>Rocket Lab Launch Complex 1, Mahia Peninsula, New Zealand</t>
        </is>
      </c>
      <c r="L38" s="4" t="inlineStr">
        <is>
          <t>Last two operational (TROPICS-06 &amp; TROPICS-07) satellites for NASA's Time-Resolved Observations of Precipitation Structure and Storm Intensity with a Constellation of SmallSats (TROPICS) mission. The CubeSats are designed to provide rapid-refresh microwave measurements that can be used to determine temperature, pressure, and humidity inside hurricanes as they form and evolve.</t>
        </is>
      </c>
      <c r="M38" s="4" t="inlineStr"/>
      <c r="N38" s="6" t="inlineStr">
        <is>
          <t>https://www.youtube.com/watch?v=rmYmgfMr2a8</t>
        </is>
      </c>
      <c r="O38" s="6" t="inlineStr">
        <is>
          <t>https://ll.thespacedevs.com/2.3.0/launches/4f77007c-9bb3-4bf4-bab3-937e65f75c45/?format=json</t>
        </is>
      </c>
      <c r="P38" s="2" t="inlineStr">
        <is>
          <t>4f77007c-9bb3-4bf4-bab3-937e65f75c45</t>
        </is>
      </c>
    </row>
    <row r="39">
      <c r="A39" s="2" t="n">
        <v>38</v>
      </c>
      <c r="B39" s="3" t="n">
        <v>45095</v>
      </c>
      <c r="C39" s="2" t="inlineStr">
        <is>
          <t>01:24</t>
        </is>
      </c>
      <c r="D39" s="2" t="n">
        <v>2023</v>
      </c>
      <c r="E39" s="4" t="inlineStr">
        <is>
          <t>Scout's Arrow (DYNAMO-A)</t>
        </is>
      </c>
      <c r="F39" s="7" t="inlineStr">
        <is>
          <t>successo</t>
        </is>
      </c>
      <c r="G39" s="2" t="inlineStr">
        <is>
          <t>Government/Top Secret</t>
        </is>
      </c>
      <c r="H39" s="2" t="inlineStr">
        <is>
          <t>Sub</t>
        </is>
      </c>
      <c r="I39" s="4" t="inlineStr">
        <is>
          <t>Leidos</t>
        </is>
      </c>
      <c r="J39" s="2" t="inlineStr">
        <is>
          <t>Rocket Lab Launch Complex 2 (Launch Area 0 C)</t>
        </is>
      </c>
      <c r="K39" s="4" t="inlineStr">
        <is>
          <t>Wallops Flight Facility, Virginia, USA</t>
        </is>
      </c>
      <c r="L39" s="4" t="inlineStr">
        <is>
          <t>First sub-orbital launch of Electron of the Hypersonic Accelerator Suborbital Test Electron (HASTE) program for Leidos and Dynetics.</t>
        </is>
      </c>
      <c r="M39" s="4" t="inlineStr"/>
      <c r="N39" s="2" t="inlineStr"/>
      <c r="O39" s="6" t="inlineStr">
        <is>
          <t>https://ll.thespacedevs.com/2.3.0/launches/2ec7425b-743d-4c52-8712-a19b1fbd0a9e/?format=json</t>
        </is>
      </c>
      <c r="P39" s="2" t="inlineStr">
        <is>
          <t>2ec7425b-743d-4c52-8712-a19b1fbd0a9e</t>
        </is>
      </c>
    </row>
    <row r="40">
      <c r="A40" s="2" t="n">
        <v>39</v>
      </c>
      <c r="B40" s="3" t="n">
        <v>45125</v>
      </c>
      <c r="C40" s="2" t="inlineStr">
        <is>
          <t>01:27</t>
        </is>
      </c>
      <c r="D40" s="2" t="n">
        <v>2023</v>
      </c>
      <c r="E40" s="4" t="inlineStr">
        <is>
          <t>Baby Come Back (Rideshare)</t>
        </is>
      </c>
      <c r="F40" s="7" t="inlineStr">
        <is>
          <t>successo</t>
        </is>
      </c>
      <c r="G40" s="2" t="inlineStr">
        <is>
          <t>Dedicated Rideshare</t>
        </is>
      </c>
      <c r="H40" s="2" t="inlineStr">
        <is>
          <t>LEO</t>
        </is>
      </c>
      <c r="I40" s="4" t="inlineStr"/>
      <c r="J40" s="2" t="inlineStr">
        <is>
          <t>Rocket Lab Launch Complex 1B</t>
        </is>
      </c>
      <c r="K40" s="4" t="inlineStr">
        <is>
          <t>Rocket Lab Launch Complex 1, Mahia Peninsula, New Zealand</t>
        </is>
      </c>
      <c r="L40" s="4" t="inlineStr">
        <is>
          <t>The "Baby Come Back" mission includes NASA's Starling project, which consists of four CubeSats designed to test technologies for future swarm missions. Telesat contributes the LEO 3 demonstration satellite, ensuring continuity for customers and ecosystem vendor testing. Additionally, two 3U satellites carrying GNSS-RO payloads from SpinGlobal will replenish their constellation of over 100 multipurpose satellites.</t>
        </is>
      </c>
      <c r="M40" s="4" t="inlineStr"/>
      <c r="N40" s="6" t="inlineStr">
        <is>
          <t>https://www.youtube.com/watch?v=AA6WI05yKHM</t>
        </is>
      </c>
      <c r="O40" s="6" t="inlineStr">
        <is>
          <t>https://ll.thespacedevs.com/2.3.0/launches/e2651bb4-c42c-4fd8-b11a-bf7df7036c89/?format=json</t>
        </is>
      </c>
      <c r="P40" s="2" t="inlineStr">
        <is>
          <t>e2651bb4-c42c-4fd8-b11a-bf7df7036c89</t>
        </is>
      </c>
    </row>
    <row r="41">
      <c r="A41" s="2" t="n">
        <v>40</v>
      </c>
      <c r="B41" s="3" t="n">
        <v>45161</v>
      </c>
      <c r="C41" s="2" t="inlineStr">
        <is>
          <t>23:45</t>
        </is>
      </c>
      <c r="D41" s="2" t="n">
        <v>2023</v>
      </c>
      <c r="E41" s="4" t="inlineStr">
        <is>
          <t>We Love the Nightlife (Capella Acadia 1)</t>
        </is>
      </c>
      <c r="F41" s="7" t="inlineStr">
        <is>
          <t>successo</t>
        </is>
      </c>
      <c r="G41" s="2" t="inlineStr">
        <is>
          <t>Earth Science</t>
        </is>
      </c>
      <c r="H41" s="2" t="inlineStr">
        <is>
          <t>LEO</t>
        </is>
      </c>
      <c r="I41" s="4" t="inlineStr">
        <is>
          <t>Capella Space</t>
        </is>
      </c>
      <c r="J41" s="2" t="inlineStr">
        <is>
          <t>Rocket Lab Launch Complex 1B</t>
        </is>
      </c>
      <c r="K41" s="4" t="inlineStr">
        <is>
          <t>Rocket Lab Launch Complex 1, Mahia Peninsula, New Zealand</t>
        </is>
      </c>
      <c r="L41" s="4" t="inlineStr">
        <is>
          <t>Payload consists of a single SAR Earth-imaging Acadia satellite, a new generation satellite designed, manufactured, and operated by Capella Space. First mission to fly with a reused engine.</t>
        </is>
      </c>
      <c r="M41" s="4" t="inlineStr"/>
      <c r="N41" s="6" t="inlineStr">
        <is>
          <t>https://www.youtube.com/watch?v=-k2RZO9ghnc</t>
        </is>
      </c>
      <c r="O41" s="6" t="inlineStr">
        <is>
          <t>https://ll.thespacedevs.com/2.3.0/launches/7975274c-81c5-48a5-82e1-9b8d982cd533/?format=json</t>
        </is>
      </c>
      <c r="P41" s="2" t="inlineStr">
        <is>
          <t>7975274c-81c5-48a5-82e1-9b8d982cd533</t>
        </is>
      </c>
    </row>
    <row r="42">
      <c r="A42" s="2" t="n">
        <v>41</v>
      </c>
      <c r="B42" s="3" t="n">
        <v>45188</v>
      </c>
      <c r="C42" s="2" t="inlineStr">
        <is>
          <t>06:55</t>
        </is>
      </c>
      <c r="D42" s="2" t="n">
        <v>2023</v>
      </c>
      <c r="E42" s="4" t="inlineStr">
        <is>
          <t>We Will Never Desert You (Capella Acadia 2)</t>
        </is>
      </c>
      <c r="F42" s="5" t="inlineStr">
        <is>
          <t>fallito</t>
        </is>
      </c>
      <c r="G42" s="2" t="inlineStr">
        <is>
          <t>Earth Science</t>
        </is>
      </c>
      <c r="H42" s="2" t="inlineStr">
        <is>
          <t>LEO</t>
        </is>
      </c>
      <c r="I42" s="4" t="inlineStr">
        <is>
          <t>Capella Space</t>
        </is>
      </c>
      <c r="J42" s="2" t="inlineStr">
        <is>
          <t>Rocket Lab Launch Complex 1B</t>
        </is>
      </c>
      <c r="K42" s="4" t="inlineStr">
        <is>
          <t>Rocket Lab Launch Complex 1, Mahia Peninsula, New Zealand</t>
        </is>
      </c>
      <c r="L42" s="4" t="inlineStr">
        <is>
          <t>Payload consists of a single SAR Earth-imaging Acadia satellite, a new generation satellite designed, manufactured, and operated by Capella Space.</t>
        </is>
      </c>
      <c r="M42" s="4" t="inlineStr">
        <is>
          <t>Ignition failure of the 2nd stage after separation.</t>
        </is>
      </c>
      <c r="N42" s="6" t="inlineStr">
        <is>
          <t>https://www.youtube.com/watch?v=AfYFqsk_NGk</t>
        </is>
      </c>
      <c r="O42" s="6" t="inlineStr">
        <is>
          <t>https://ll.thespacedevs.com/2.3.0/launches/08f52ca7-9aba-41d1-a5c7-092cab7aca92/?format=json</t>
        </is>
      </c>
      <c r="P42" s="2" t="inlineStr">
        <is>
          <t>08f52ca7-9aba-41d1-a5c7-092cab7aca92</t>
        </is>
      </c>
    </row>
    <row r="43">
      <c r="A43" s="2" t="n">
        <v>42</v>
      </c>
      <c r="B43" s="3" t="n">
        <v>45275</v>
      </c>
      <c r="C43" s="2" t="inlineStr">
        <is>
          <t>04:05</t>
        </is>
      </c>
      <c r="D43" s="2" t="n">
        <v>2023</v>
      </c>
      <c r="E43" s="4" t="inlineStr">
        <is>
          <t>The Moon God Awakens (QPS-SAR-5)</t>
        </is>
      </c>
      <c r="F43" s="7" t="inlineStr">
        <is>
          <t>successo</t>
        </is>
      </c>
      <c r="G43" s="2" t="inlineStr">
        <is>
          <t>Earth Science</t>
        </is>
      </c>
      <c r="H43" s="2" t="inlineStr">
        <is>
          <t>LEO</t>
        </is>
      </c>
      <c r="I43" s="4" t="inlineStr">
        <is>
          <t>QPS Research Institute</t>
        </is>
      </c>
      <c r="J43" s="2" t="inlineStr">
        <is>
          <t>Rocket Lab Launch Complex 1B</t>
        </is>
      </c>
      <c r="K43" s="4" t="inlineStr">
        <is>
          <t>Rocket Lab Launch Complex 1, Mahia Peninsula, New Zealand</t>
        </is>
      </c>
      <c r="L43" s="4" t="inlineStr">
        <is>
          <t>QPS-SAR-5 is a synthetic-aperture radar (SAR) satellite that will join a constellation after QPS-SAR-6 already in orbit. iQPS’s satellites are small, high-performance SAR satellites that use a lightweight, large, stowable antenna to collect high resolution images of Earth, even through clouds and adverse weather conditions.</t>
        </is>
      </c>
      <c r="M43" s="4" t="inlineStr"/>
      <c r="N43" s="6" t="inlineStr">
        <is>
          <t>https://www.youtube.com/watch?v=iLwTLqaCnQ8</t>
        </is>
      </c>
      <c r="O43" s="6" t="inlineStr">
        <is>
          <t>https://ll.thespacedevs.com/2.3.0/launches/2918b5f6-1340-4c73-bb75-4f9b5e16999f/?format=json</t>
        </is>
      </c>
      <c r="P43" s="2" t="inlineStr">
        <is>
          <t>2918b5f6-1340-4c73-bb75-4f9b5e16999f</t>
        </is>
      </c>
    </row>
    <row r="44">
      <c r="A44" s="2" t="n">
        <v>43</v>
      </c>
      <c r="B44" s="3" t="n">
        <v>45322</v>
      </c>
      <c r="C44" s="2" t="inlineStr">
        <is>
          <t>06:34</t>
        </is>
      </c>
      <c r="D44" s="2" t="n">
        <v>2024</v>
      </c>
      <c r="E44" s="4" t="inlineStr">
        <is>
          <t>Four Of A Kind (NorthStar 1)</t>
        </is>
      </c>
      <c r="F44" s="7" t="inlineStr">
        <is>
          <t>successo</t>
        </is>
      </c>
      <c r="G44" s="2" t="inlineStr">
        <is>
          <t>Space Situational Awareness</t>
        </is>
      </c>
      <c r="H44" s="2" t="inlineStr">
        <is>
          <t>LEO</t>
        </is>
      </c>
      <c r="I44" s="4" t="inlineStr">
        <is>
          <t>Northstar Earth &amp; Space</t>
        </is>
      </c>
      <c r="J44" s="2" t="inlineStr">
        <is>
          <t>Rocket Lab Launch Complex 1B</t>
        </is>
      </c>
      <c r="K44" s="4" t="inlineStr">
        <is>
          <t>Rocket Lab Launch Complex 1, Mahia Peninsula, New Zealand</t>
        </is>
      </c>
      <c r="L44" s="4" t="inlineStr">
        <is>
          <t>Four space situational awareness (SSA) satellites for Canadian company NorthStar Earth and Space.</t>
        </is>
      </c>
      <c r="M44" s="4" t="inlineStr"/>
      <c r="N44" s="6" t="inlineStr">
        <is>
          <t>https://www.youtube.com/watch?v=NDyxRPGWhRo</t>
        </is>
      </c>
      <c r="O44" s="6" t="inlineStr">
        <is>
          <t>https://ll.thespacedevs.com/2.3.0/launches/89f9600b-b250-4b0f-a713-99b123bb58d8/?format=json</t>
        </is>
      </c>
      <c r="P44" s="2" t="inlineStr">
        <is>
          <t>89f9600b-b250-4b0f-a713-99b123bb58d8</t>
        </is>
      </c>
    </row>
    <row r="45">
      <c r="A45" s="2" t="n">
        <v>44</v>
      </c>
      <c r="B45" s="3" t="n">
        <v>45340</v>
      </c>
      <c r="C45" s="2" t="inlineStr">
        <is>
          <t>14:52</t>
        </is>
      </c>
      <c r="D45" s="2" t="n">
        <v>2024</v>
      </c>
      <c r="E45" s="4" t="inlineStr">
        <is>
          <t>On Closer Inspection (ADRAS-J)</t>
        </is>
      </c>
      <c r="F45" s="7" t="inlineStr">
        <is>
          <t>successo</t>
        </is>
      </c>
      <c r="G45" s="2" t="inlineStr">
        <is>
          <t>Earth Science</t>
        </is>
      </c>
      <c r="H45" s="2" t="inlineStr">
        <is>
          <t>SSO</t>
        </is>
      </c>
      <c r="I45" s="4" t="inlineStr">
        <is>
          <t>Astroscale</t>
        </is>
      </c>
      <c r="J45" s="2" t="inlineStr">
        <is>
          <t>Rocket Lab Launch Complex 1B</t>
        </is>
      </c>
      <c r="K45" s="4" t="inlineStr">
        <is>
          <t>Rocket Lab Launch Complex 1, Mahia Peninsula, New Zealand</t>
        </is>
      </c>
      <c r="L45" s="4" t="inlineStr">
        <is>
          <t>The Active Debris Removal by Astroscale-Japan (ADRAS-J) mission consists of a spacecraft developed and operated by Astroscale aiming to rendezvous with and characterize a large piece of debris. Its target is the H-2A upper stage left in Low Earth Orbit after the launch of the GOSAT Earth observation satellite in 2009.</t>
        </is>
      </c>
      <c r="M45" s="4" t="inlineStr"/>
      <c r="N45" s="6" t="inlineStr">
        <is>
          <t>https://www.youtube.com/watch?v=dcuZMP1m_g8</t>
        </is>
      </c>
      <c r="O45" s="6" t="inlineStr">
        <is>
          <t>https://ll.thespacedevs.com/2.3.0/launches/3d959fa3-5a10-4b54-a603-4cfc7c414fb2/?format=json</t>
        </is>
      </c>
      <c r="P45" s="2" t="inlineStr">
        <is>
          <t>3d959fa3-5a10-4b54-a603-4cfc7c414fb2</t>
        </is>
      </c>
    </row>
    <row r="46">
      <c r="A46" s="2" t="n">
        <v>45</v>
      </c>
      <c r="B46" s="3" t="n">
        <v>45363</v>
      </c>
      <c r="C46" s="2" t="inlineStr">
        <is>
          <t>15:03</t>
        </is>
      </c>
      <c r="D46" s="2" t="n">
        <v>2024</v>
      </c>
      <c r="E46" s="4" t="inlineStr">
        <is>
          <t>Owl Night Long (StriX-3)</t>
        </is>
      </c>
      <c r="F46" s="7" t="inlineStr">
        <is>
          <t>successo</t>
        </is>
      </c>
      <c r="G46" s="2" t="inlineStr">
        <is>
          <t>Earth Science</t>
        </is>
      </c>
      <c r="H46" s="2" t="inlineStr">
        <is>
          <t>SSO</t>
        </is>
      </c>
      <c r="I46" s="4" t="inlineStr">
        <is>
          <t>Synspective</t>
        </is>
      </c>
      <c r="J46" s="2" t="inlineStr">
        <is>
          <t>Rocket Lab Launch Complex 1B</t>
        </is>
      </c>
      <c r="K46" s="4" t="inlineStr">
        <is>
          <t>Rocket Lab Launch Complex 1, Mahia Peninsula, New Zealand</t>
        </is>
      </c>
      <c r="L46" s="4" t="inlineStr">
        <is>
          <t>StriX-3 is a synthetic aperture radar satellite for Japanese Earth imaging company Synspective. It can gather high resolution Earth observation data regardless of conditions or daylight, offering a resilient and effective resource for the purposes of urban development, infrastructure monitoring, and disaster response.</t>
        </is>
      </c>
      <c r="M46" s="4" t="inlineStr"/>
      <c r="N46" s="6" t="inlineStr">
        <is>
          <t>https://www.youtube.com/watch?v=GF9cWWkSlsQ</t>
        </is>
      </c>
      <c r="O46" s="6" t="inlineStr">
        <is>
          <t>https://ll.thespacedevs.com/2.3.0/launches/c16c61fb-fd2c-482b-8904-bc3db306d747/?format=json</t>
        </is>
      </c>
      <c r="P46" s="2" t="inlineStr">
        <is>
          <t>c16c61fb-fd2c-482b-8904-bc3db306d747</t>
        </is>
      </c>
    </row>
    <row r="47">
      <c r="A47" s="2" t="n">
        <v>46</v>
      </c>
      <c r="B47" s="3" t="n">
        <v>45372</v>
      </c>
      <c r="C47" s="2" t="inlineStr">
        <is>
          <t>07:25</t>
        </is>
      </c>
      <c r="D47" s="2" t="n">
        <v>2024</v>
      </c>
      <c r="E47" s="4" t="inlineStr">
        <is>
          <t>Live and Let Fly (NROL-123)</t>
        </is>
      </c>
      <c r="F47" s="7" t="inlineStr">
        <is>
          <t>successo</t>
        </is>
      </c>
      <c r="G47" s="2" t="inlineStr">
        <is>
          <t>Government/Top Secret</t>
        </is>
      </c>
      <c r="H47" s="2" t="inlineStr">
        <is>
          <t>LEO</t>
        </is>
      </c>
      <c r="I47" s="4" t="inlineStr">
        <is>
          <t>National Reconnaissance Office</t>
        </is>
      </c>
      <c r="J47" s="2" t="inlineStr">
        <is>
          <t>Rocket Lab Launch Complex 2 (Launch Area 0 C)</t>
        </is>
      </c>
      <c r="K47" s="4" t="inlineStr">
        <is>
          <t>Wallops Flight Facility, Virginia, USA</t>
        </is>
      </c>
      <c r="L47" s="4" t="inlineStr">
        <is>
          <t>Mission for the National Reconnaissance Office.</t>
        </is>
      </c>
      <c r="M47" s="4" t="inlineStr"/>
      <c r="N47" s="6" t="inlineStr">
        <is>
          <t>https://www.youtube.com/watch?v=Coa3GZtotQo</t>
        </is>
      </c>
      <c r="O47" s="6" t="inlineStr">
        <is>
          <t>https://ll.thespacedevs.com/2.3.0/launches/7f854a08-ea51-4470-9b80-84fb2252c9fe/?format=json</t>
        </is>
      </c>
      <c r="P47" s="2" t="inlineStr">
        <is>
          <t>7f854a08-ea51-4470-9b80-84fb2252c9fe</t>
        </is>
      </c>
    </row>
    <row r="48">
      <c r="A48" s="2" t="n">
        <v>47</v>
      </c>
      <c r="B48" s="3" t="n">
        <v>45405</v>
      </c>
      <c r="C48" s="2" t="inlineStr">
        <is>
          <t>22:32</t>
        </is>
      </c>
      <c r="D48" s="2" t="n">
        <v>2024</v>
      </c>
      <c r="E48" s="4" t="inlineStr">
        <is>
          <t>Beginning Of The Swarm (ACS3 &amp; NeonSat-1)</t>
        </is>
      </c>
      <c r="F48" s="7" t="inlineStr">
        <is>
          <t>successo</t>
        </is>
      </c>
      <c r="G48" s="2" t="inlineStr">
        <is>
          <t>Dedicated Rideshare</t>
        </is>
      </c>
      <c r="H48" s="2" t="inlineStr">
        <is>
          <t>SSO</t>
        </is>
      </c>
      <c r="I48" s="4" t="inlineStr">
        <is>
          <t>Korea Advanced Institute of Science and Technology, National Aeronautics and Space Administration</t>
        </is>
      </c>
      <c r="J48" s="2" t="inlineStr">
        <is>
          <t>Rocket Lab Launch Complex 1B</t>
        </is>
      </c>
      <c r="K48" s="4" t="inlineStr">
        <is>
          <t>Rocket Lab Launch Complex 1, Mahia Peninsula, New Zealand</t>
        </is>
      </c>
      <c r="L48" s="4" t="inlineStr">
        <is>
          <t>NASA's Advanced Composite Solar Sail System (ACS3) is a technology demonstration mission tasked with deploying a composite boom solar sail. NeonSat-1 is a high-resolution optical satellite by South Korea's KAIST that will be deployed as a technology demonstration for a planned future Earth observation constellation.</t>
        </is>
      </c>
      <c r="M48" s="4" t="inlineStr"/>
      <c r="N48" s="6" t="inlineStr">
        <is>
          <t>https://www.youtube.com/watch?v=9izutzETw1U</t>
        </is>
      </c>
      <c r="O48" s="6" t="inlineStr">
        <is>
          <t>https://ll.thespacedevs.com/2.3.0/launches/607135c8-8090-4f5e-8bd3-d69bef2f2618/?format=json</t>
        </is>
      </c>
      <c r="P48" s="2" t="inlineStr">
        <is>
          <t>607135c8-8090-4f5e-8bd3-d69bef2f2618</t>
        </is>
      </c>
    </row>
    <row r="49">
      <c r="A49" s="2" t="n">
        <v>48</v>
      </c>
      <c r="B49" s="3" t="n">
        <v>45437</v>
      </c>
      <c r="C49" s="2" t="inlineStr">
        <is>
          <t>07:41</t>
        </is>
      </c>
      <c r="D49" s="2" t="n">
        <v>2024</v>
      </c>
      <c r="E49" s="4" t="inlineStr">
        <is>
          <t>Ready, Aim, PREFIRE (PREFIRE 1)</t>
        </is>
      </c>
      <c r="F49" s="7" t="inlineStr">
        <is>
          <t>successo</t>
        </is>
      </c>
      <c r="G49" s="2" t="inlineStr">
        <is>
          <t>Earth Science</t>
        </is>
      </c>
      <c r="H49" s="2" t="inlineStr">
        <is>
          <t>PO</t>
        </is>
      </c>
      <c r="I49" s="4" t="inlineStr">
        <is>
          <t>National Aeronautics and Space Administration</t>
        </is>
      </c>
      <c r="J49" s="2" t="inlineStr">
        <is>
          <t>Rocket Lab Launch Complex 1B</t>
        </is>
      </c>
      <c r="K49" s="4" t="inlineStr">
        <is>
          <t>Rocket Lab Launch Complex 1, Mahia Peninsula, New Zealand</t>
        </is>
      </c>
      <c r="L49" s="4" t="inlineStr">
        <is>
          <t>First 6U Cubesat carrying a miniaturized IR spectrometer, covering 0- 45 μm at 0.84 μm spectral resolution, operating for one seasonal cycle for NASAs PREFIRE (Polar Radiant Energy in the Far-InfraRed Experiment) mission.</t>
        </is>
      </c>
      <c r="M49" s="4" t="inlineStr"/>
      <c r="N49" s="6" t="inlineStr">
        <is>
          <t>https://www.youtube.com/watch?v=m7nYAJ4dZP4</t>
        </is>
      </c>
      <c r="O49" s="6" t="inlineStr">
        <is>
          <t>https://ll.thespacedevs.com/2.3.0/launches/1369f2f0-98db-4b34-b44e-47ddf0628b43/?format=json</t>
        </is>
      </c>
      <c r="P49" s="2" t="inlineStr">
        <is>
          <t>1369f2f0-98db-4b34-b44e-47ddf0628b43</t>
        </is>
      </c>
    </row>
    <row r="50">
      <c r="A50" s="2" t="n">
        <v>49</v>
      </c>
      <c r="B50" s="3" t="n">
        <v>45448</v>
      </c>
      <c r="C50" s="2" t="inlineStr">
        <is>
          <t>03:15</t>
        </is>
      </c>
      <c r="D50" s="2" t="n">
        <v>2024</v>
      </c>
      <c r="E50" s="4" t="inlineStr">
        <is>
          <t>PREFIRE And Ice (PREFIRE 2)</t>
        </is>
      </c>
      <c r="F50" s="7" t="inlineStr">
        <is>
          <t>successo</t>
        </is>
      </c>
      <c r="G50" s="2" t="inlineStr">
        <is>
          <t>Earth Science</t>
        </is>
      </c>
      <c r="H50" s="2" t="inlineStr">
        <is>
          <t>PO</t>
        </is>
      </c>
      <c r="I50" s="4" t="inlineStr">
        <is>
          <t>National Aeronautics and Space Administration</t>
        </is>
      </c>
      <c r="J50" s="2" t="inlineStr">
        <is>
          <t>Rocket Lab Launch Complex 1B</t>
        </is>
      </c>
      <c r="K50" s="4" t="inlineStr">
        <is>
          <t>Rocket Lab Launch Complex 1, Mahia Peninsula, New Zealand</t>
        </is>
      </c>
      <c r="L50" s="4" t="inlineStr">
        <is>
          <t>Second 6U Cubesat carrying a miniaturized IR spectrometer, covering 0- 45 μm at 0.84 μm spectral resolution, operating for one seasonal cycle for NASAs PREFIRE (Polar Radiant Energy in the Far-InfraRed Experiment) mission.</t>
        </is>
      </c>
      <c r="M50" s="4" t="inlineStr"/>
      <c r="N50" s="6" t="inlineStr">
        <is>
          <t>https://www.youtube.com/watch?v=qBBhzkNzcYQ</t>
        </is>
      </c>
      <c r="O50" s="6" t="inlineStr">
        <is>
          <t>https://ll.thespacedevs.com/2.3.0/launches/0bcda9f1-a347-408d-88cd-b8b5bd6fffc2/?format=json</t>
        </is>
      </c>
      <c r="P50" s="2" t="inlineStr">
        <is>
          <t>0bcda9f1-a347-408d-88cd-b8b5bd6fffc2</t>
        </is>
      </c>
    </row>
    <row r="51">
      <c r="A51" s="2" t="n">
        <v>50</v>
      </c>
      <c r="B51" s="3" t="n">
        <v>45463</v>
      </c>
      <c r="C51" s="2" t="inlineStr">
        <is>
          <t>18:13</t>
        </is>
      </c>
      <c r="D51" s="2" t="n">
        <v>2024</v>
      </c>
      <c r="E51" s="4" t="inlineStr">
        <is>
          <t>No Time Toulouse (Kinéis 1-5)</t>
        </is>
      </c>
      <c r="F51" s="7" t="inlineStr">
        <is>
          <t>successo</t>
        </is>
      </c>
      <c r="G51" s="2" t="inlineStr">
        <is>
          <t>Communications</t>
        </is>
      </c>
      <c r="H51" s="2" t="inlineStr">
        <is>
          <t>SSO</t>
        </is>
      </c>
      <c r="I51" s="4" t="inlineStr">
        <is>
          <t>Kinéis</t>
        </is>
      </c>
      <c r="J51" s="2" t="inlineStr">
        <is>
          <t>Rocket Lab Launch Complex 1B</t>
        </is>
      </c>
      <c r="K51" s="4" t="inlineStr">
        <is>
          <t>Rocket Lab Launch Complex 1, Mahia Peninsula, New Zealand</t>
        </is>
      </c>
      <c r="L51" s="4" t="inlineStr">
        <is>
          <t>First batch of five satellites for the French Kinéis IoT constellation designed to operate with 25 nanosatellites of 30 kg each.</t>
        </is>
      </c>
      <c r="M51" s="4" t="inlineStr"/>
      <c r="N51" s="6" t="inlineStr">
        <is>
          <t>https://www.youtube.com/watch?v=MYpQkHw9s1I</t>
        </is>
      </c>
      <c r="O51" s="6" t="inlineStr">
        <is>
          <t>https://ll.thespacedevs.com/2.3.0/launches/1d6c8ff3-aa61-4ecc-8f79-355bba274868/?format=json</t>
        </is>
      </c>
      <c r="P51" s="2" t="inlineStr">
        <is>
          <t>1d6c8ff3-aa61-4ecc-8f79-355bba274868</t>
        </is>
      </c>
    </row>
    <row r="52">
      <c r="A52" s="2" t="n">
        <v>51</v>
      </c>
      <c r="B52" s="3" t="n">
        <v>45506</v>
      </c>
      <c r="C52" s="2" t="inlineStr">
        <is>
          <t>16:39</t>
        </is>
      </c>
      <c r="D52" s="2" t="n">
        <v>2024</v>
      </c>
      <c r="E52" s="4" t="inlineStr">
        <is>
          <t>Owl For One, One For Owl (StriX Launch 5)</t>
        </is>
      </c>
      <c r="F52" s="7" t="inlineStr">
        <is>
          <t>successo</t>
        </is>
      </c>
      <c r="G52" s="2" t="inlineStr">
        <is>
          <t>Earth Science</t>
        </is>
      </c>
      <c r="H52" s="2" t="inlineStr">
        <is>
          <t>LEO</t>
        </is>
      </c>
      <c r="I52" s="4" t="inlineStr">
        <is>
          <t>Synspective</t>
        </is>
      </c>
      <c r="J52" s="2" t="inlineStr">
        <is>
          <t>Rocket Lab Launch Complex 1B</t>
        </is>
      </c>
      <c r="K52" s="4" t="inlineStr">
        <is>
          <t>Rocket Lab Launch Complex 1, Mahia Peninsula, New Zealand</t>
        </is>
      </c>
      <c r="L52" s="4" t="inlineStr">
        <is>
          <t>Synthetic aperture radar satellites for Japanese Earth imaging company Synspective.</t>
        </is>
      </c>
      <c r="M52" s="4" t="inlineStr"/>
      <c r="N52" s="6" t="inlineStr">
        <is>
          <t>https://www.youtube.com/watch?v=ZdikUDvKYmc</t>
        </is>
      </c>
      <c r="O52" s="6" t="inlineStr">
        <is>
          <t>https://ll.thespacedevs.com/2.3.0/launches/8db4129c-513e-4258-bbde-c66f63c0c7ee/?format=json</t>
        </is>
      </c>
      <c r="P52" s="2" t="inlineStr">
        <is>
          <t>8db4129c-513e-4258-bbde-c66f63c0c7ee</t>
        </is>
      </c>
    </row>
    <row r="53">
      <c r="A53" s="2" t="n">
        <v>52</v>
      </c>
      <c r="B53" s="3" t="n">
        <v>45515</v>
      </c>
      <c r="C53" s="2" t="inlineStr">
        <is>
          <t>13:18</t>
        </is>
      </c>
      <c r="D53" s="2" t="n">
        <v>2024</v>
      </c>
      <c r="E53" s="4" t="inlineStr">
        <is>
          <t>A Sky Full of SARs (Capella Acadia 3)</t>
        </is>
      </c>
      <c r="F53" s="7" t="inlineStr">
        <is>
          <t>successo</t>
        </is>
      </c>
      <c r="G53" s="2" t="inlineStr">
        <is>
          <t>Earth Science</t>
        </is>
      </c>
      <c r="H53" s="2" t="inlineStr">
        <is>
          <t>LEO</t>
        </is>
      </c>
      <c r="I53" s="4" t="inlineStr">
        <is>
          <t>Capella Space</t>
        </is>
      </c>
      <c r="J53" s="2" t="inlineStr">
        <is>
          <t>Rocket Lab Launch Complex 1B</t>
        </is>
      </c>
      <c r="K53" s="4" t="inlineStr">
        <is>
          <t>Rocket Lab Launch Complex 1, Mahia Peninsula, New Zealand</t>
        </is>
      </c>
      <c r="L53" s="4" t="inlineStr">
        <is>
          <t>Payload consists of a single SAR Earth-imaging Acadia satellite, a new generation satellite designed, manufactured, and operated by Capella Space.</t>
        </is>
      </c>
      <c r="M53" s="4" t="inlineStr"/>
      <c r="N53" s="6" t="inlineStr">
        <is>
          <t>https://www.youtube.com/watch?v=wFH0ZS2GHd8</t>
        </is>
      </c>
      <c r="O53" s="6" t="inlineStr">
        <is>
          <t>https://ll.thespacedevs.com/2.3.0/launches/848b8e10-e5a4-4e46-9896-0c2299360588/?format=json</t>
        </is>
      </c>
      <c r="P53" s="2" t="inlineStr">
        <is>
          <t>848b8e10-e5a4-4e46-9896-0c2299360588</t>
        </is>
      </c>
    </row>
    <row r="54">
      <c r="A54" s="2" t="n">
        <v>53</v>
      </c>
      <c r="B54" s="3" t="n">
        <v>45555</v>
      </c>
      <c r="C54" s="2" t="inlineStr">
        <is>
          <t>23:01</t>
        </is>
      </c>
      <c r="D54" s="2" t="n">
        <v>2024</v>
      </c>
      <c r="E54" s="4" t="inlineStr">
        <is>
          <t>Kinéis Killed the RadIoT Star (Kinéis 6-10)</t>
        </is>
      </c>
      <c r="F54" s="7" t="inlineStr">
        <is>
          <t>successo</t>
        </is>
      </c>
      <c r="G54" s="2" t="inlineStr">
        <is>
          <t>Communications</t>
        </is>
      </c>
      <c r="H54" s="2" t="inlineStr">
        <is>
          <t>SSO</t>
        </is>
      </c>
      <c r="I54" s="4" t="inlineStr">
        <is>
          <t>Kinéis</t>
        </is>
      </c>
      <c r="J54" s="2" t="inlineStr">
        <is>
          <t>Rocket Lab Launch Complex 1A</t>
        </is>
      </c>
      <c r="K54" s="4" t="inlineStr">
        <is>
          <t>Rocket Lab Launch Complex 1, Mahia Peninsula, New Zealand</t>
        </is>
      </c>
      <c r="L54" s="4" t="inlineStr">
        <is>
          <t>Second batch of five satellites for the French Kinéis IoT constellation designed to operate with 25 nanosatellites of 30 kg each.</t>
        </is>
      </c>
      <c r="M54" s="4" t="inlineStr"/>
      <c r="N54" s="6" t="inlineStr">
        <is>
          <t>https://www.youtube.com/watch?v=beVTGh_PrA0</t>
        </is>
      </c>
      <c r="O54" s="6" t="inlineStr">
        <is>
          <t>https://ll.thespacedevs.com/2.3.0/launches/1fae2781-87aa-4a0a-a023-af689a9c5d79/?format=json</t>
        </is>
      </c>
      <c r="P54" s="2" t="inlineStr">
        <is>
          <t>1fae2781-87aa-4a0a-a023-af689a9c5d79</t>
        </is>
      </c>
    </row>
    <row r="55">
      <c r="A55" s="2" t="n">
        <v>54</v>
      </c>
      <c r="B55" s="3" t="n">
        <v>45601</v>
      </c>
      <c r="C55" s="2" t="inlineStr">
        <is>
          <t>10:54</t>
        </is>
      </c>
      <c r="D55" s="2" t="n">
        <v>2024</v>
      </c>
      <c r="E55" s="4" t="inlineStr">
        <is>
          <t>Changes In Latitudes, Changes In Attitudes (Protosat-1)</t>
        </is>
      </c>
      <c r="F55" s="7" t="inlineStr">
        <is>
          <t>successo</t>
        </is>
      </c>
      <c r="G55" s="2" t="inlineStr">
        <is>
          <t>Communications</t>
        </is>
      </c>
      <c r="H55" s="2" t="inlineStr">
        <is>
          <t>SSO</t>
        </is>
      </c>
      <c r="I55" s="4" t="inlineStr"/>
      <c r="J55" s="2" t="inlineStr">
        <is>
          <t>Rocket Lab Launch Complex 1B</t>
        </is>
      </c>
      <c r="K55" s="4" t="inlineStr">
        <is>
          <t>Rocket Lab Launch Complex 1, Mahia Peninsula, New Zealand</t>
        </is>
      </c>
      <c r="L55" s="4" t="inlineStr">
        <is>
          <t>Launch of a yet to identified satellite to SSO for an undisclosed customer. The customer is highly likely to be Low Earth Orbit communication satellite constellation operator E-Space. Launch contract was signed less than 2 months before launch.</t>
        </is>
      </c>
      <c r="M55" s="4" t="inlineStr"/>
      <c r="N55" s="6" t="inlineStr">
        <is>
          <t>https://www.youtube.com/watch?v=Pku19e-MHis</t>
        </is>
      </c>
      <c r="O55" s="6" t="inlineStr">
        <is>
          <t>https://ll.thespacedevs.com/2.3.0/launches/3dfcd148-b684-447a-acde-e6195dbd12f1/?format=json</t>
        </is>
      </c>
      <c r="P55" s="2" t="inlineStr">
        <is>
          <t>3dfcd148-b684-447a-acde-e6195dbd12f1</t>
        </is>
      </c>
    </row>
    <row r="56">
      <c r="A56" s="2" t="n">
        <v>55</v>
      </c>
      <c r="B56" s="3" t="n">
        <v>45620</v>
      </c>
      <c r="C56" s="2" t="inlineStr">
        <is>
          <t>06:00</t>
        </is>
      </c>
      <c r="D56" s="2" t="n">
        <v>2024</v>
      </c>
      <c r="E56" s="4" t="inlineStr">
        <is>
          <t>Leidos-2</t>
        </is>
      </c>
      <c r="F56" s="7" t="inlineStr">
        <is>
          <t>successo</t>
        </is>
      </c>
      <c r="G56" s="2" t="inlineStr">
        <is>
          <t>Government/Top Secret</t>
        </is>
      </c>
      <c r="H56" s="2" t="inlineStr">
        <is>
          <t>Sub</t>
        </is>
      </c>
      <c r="I56" s="4" t="inlineStr">
        <is>
          <t>Leidos</t>
        </is>
      </c>
      <c r="J56" s="2" t="inlineStr">
        <is>
          <t>Rocket Lab Launch Complex 2 (Launch Area 0 C)</t>
        </is>
      </c>
      <c r="K56" s="4" t="inlineStr">
        <is>
          <t>Wallops Flight Facility, Virginia, USA</t>
        </is>
      </c>
      <c r="L56" s="4" t="inlineStr">
        <is>
          <t>Second sub-orbital launch of Electron of the Hypersonic Accelerator Suborbital Test Electron (HASTE) program for Leidos and Dynetics.</t>
        </is>
      </c>
      <c r="M56" s="4" t="inlineStr"/>
      <c r="N56" s="6" t="inlineStr">
        <is>
          <t>https://www.youtube.com/watch?v=1dBfpv9TIdw</t>
        </is>
      </c>
      <c r="O56" s="6" t="inlineStr">
        <is>
          <t>https://ll.thespacedevs.com/2.3.0/launches/f82304b2-5f3c-4753-b8ee-aee69323f7fb/?format=json</t>
        </is>
      </c>
      <c r="P56" s="2" t="inlineStr">
        <is>
          <t>f82304b2-5f3c-4753-b8ee-aee69323f7fb</t>
        </is>
      </c>
    </row>
    <row r="57">
      <c r="A57" s="2" t="n">
        <v>56</v>
      </c>
      <c r="B57" s="3" t="n">
        <v>45621</v>
      </c>
      <c r="C57" s="2" t="inlineStr">
        <is>
          <t>03:55</t>
        </is>
      </c>
      <c r="D57" s="2" t="n">
        <v>2024</v>
      </c>
      <c r="E57" s="4" t="inlineStr">
        <is>
          <t>Ice AIS Baby (Kinéis 11-15)</t>
        </is>
      </c>
      <c r="F57" s="7" t="inlineStr">
        <is>
          <t>successo</t>
        </is>
      </c>
      <c r="G57" s="2" t="inlineStr">
        <is>
          <t>Communications</t>
        </is>
      </c>
      <c r="H57" s="2" t="inlineStr">
        <is>
          <t>SSO</t>
        </is>
      </c>
      <c r="I57" s="4" t="inlineStr">
        <is>
          <t>Kinéis</t>
        </is>
      </c>
      <c r="J57" s="2" t="inlineStr">
        <is>
          <t>Rocket Lab Launch Complex 1B</t>
        </is>
      </c>
      <c r="K57" s="4" t="inlineStr">
        <is>
          <t>Rocket Lab Launch Complex 1, Mahia Peninsula, New Zealand</t>
        </is>
      </c>
      <c r="L57" s="4" t="inlineStr">
        <is>
          <t>Third batch of five satellites for the French Kinéis IoT constellation designed to operate with 25 nanosatellites of 30 kg each.</t>
        </is>
      </c>
      <c r="M57" s="4" t="inlineStr"/>
      <c r="N57" s="6" t="inlineStr">
        <is>
          <t>https://www.youtube.com/watch?v=i081vyh3WO0</t>
        </is>
      </c>
      <c r="O57" s="6" t="inlineStr">
        <is>
          <t>https://ll.thespacedevs.com/2.3.0/launches/5d63efa7-7cb4-4a00-ad96-9929cf027041/?format=json</t>
        </is>
      </c>
      <c r="P57" s="2" t="inlineStr">
        <is>
          <t>5d63efa7-7cb4-4a00-ad96-9929cf027041</t>
        </is>
      </c>
    </row>
    <row r="58">
      <c r="A58" s="2" t="n">
        <v>57</v>
      </c>
      <c r="B58" s="3" t="n">
        <v>45640</v>
      </c>
      <c r="C58" s="2" t="inlineStr">
        <is>
          <t>01:00</t>
        </is>
      </c>
      <c r="D58" s="2" t="n">
        <v>2024</v>
      </c>
      <c r="E58" s="4" t="inlineStr">
        <is>
          <t>Stonehenge</t>
        </is>
      </c>
      <c r="F58" s="7" t="inlineStr">
        <is>
          <t>successo</t>
        </is>
      </c>
      <c r="G58" s="2" t="inlineStr">
        <is>
          <t>Government/Top Secret</t>
        </is>
      </c>
      <c r="H58" s="2" t="inlineStr">
        <is>
          <t>Sub</t>
        </is>
      </c>
      <c r="I58" s="4" t="inlineStr"/>
      <c r="J58" s="2" t="inlineStr">
        <is>
          <t>Rocket Lab Launch Complex 2 (Launch Area 0 C)</t>
        </is>
      </c>
      <c r="K58" s="4" t="inlineStr">
        <is>
          <t>Wallops Flight Facility, Virginia, USA</t>
        </is>
      </c>
      <c r="L58" s="4" t="inlineStr">
        <is>
          <t>Sub-orbital launch of the Hypersonic Accelerator Suborbital Test Electron (HASTE) program for a confidential customer.</t>
        </is>
      </c>
      <c r="M58" s="4" t="inlineStr"/>
      <c r="N58" s="2" t="inlineStr"/>
      <c r="O58" s="6" t="inlineStr">
        <is>
          <t>https://ll.thespacedevs.com/2.3.0/launches/0fcf4d4c-6400-4587-b7a3-341e8e87c36e/?format=json</t>
        </is>
      </c>
      <c r="P58" s="2" t="inlineStr">
        <is>
          <t>0fcf4d4c-6400-4587-b7a3-341e8e87c36e</t>
        </is>
      </c>
    </row>
    <row r="59">
      <c r="A59" s="2" t="n">
        <v>58</v>
      </c>
      <c r="B59" s="3" t="n">
        <v>45647</v>
      </c>
      <c r="C59" s="2" t="inlineStr">
        <is>
          <t>14:17</t>
        </is>
      </c>
      <c r="D59" s="2" t="n">
        <v>2024</v>
      </c>
      <c r="E59" s="4" t="inlineStr">
        <is>
          <t>Owl The Way Up (StriX Launch 6)</t>
        </is>
      </c>
      <c r="F59" s="7" t="inlineStr">
        <is>
          <t>successo</t>
        </is>
      </c>
      <c r="G59" s="2" t="inlineStr">
        <is>
          <t>Earth Science</t>
        </is>
      </c>
      <c r="H59" s="2" t="inlineStr">
        <is>
          <t>SSO</t>
        </is>
      </c>
      <c r="I59" s="4" t="inlineStr">
        <is>
          <t>Synspective</t>
        </is>
      </c>
      <c r="J59" s="2" t="inlineStr">
        <is>
          <t>Rocket Lab Launch Complex 1B</t>
        </is>
      </c>
      <c r="K59" s="4" t="inlineStr">
        <is>
          <t>Rocket Lab Launch Complex 1, Mahia Peninsula, New Zealand</t>
        </is>
      </c>
      <c r="L59" s="4" t="inlineStr">
        <is>
          <t>Synthetic aperture radar satellites for Japanese Earth imaging company Synspective.</t>
        </is>
      </c>
      <c r="M59" s="4" t="inlineStr"/>
      <c r="N59" s="6" t="inlineStr">
        <is>
          <t>https://www.youtube.com/watch?v=-7VZB4pHJrQ</t>
        </is>
      </c>
      <c r="O59" s="6" t="inlineStr">
        <is>
          <t>https://ll.thespacedevs.com/2.3.0/launches/af1466bb-289b-40b3-b83c-102b3a7af047/?format=json</t>
        </is>
      </c>
      <c r="P59" s="2" t="inlineStr">
        <is>
          <t>af1466bb-289b-40b3-b83c-102b3a7af047</t>
        </is>
      </c>
    </row>
    <row r="60">
      <c r="A60" s="2" t="n">
        <v>59</v>
      </c>
      <c r="B60" s="3" t="n">
        <v>45696</v>
      </c>
      <c r="C60" s="2" t="inlineStr">
        <is>
          <t>20:43</t>
        </is>
      </c>
      <c r="D60" s="2" t="n">
        <v>2025</v>
      </c>
      <c r="E60" s="4" t="inlineStr">
        <is>
          <t>IoT 4 You and Me (Kinéis 16-20)</t>
        </is>
      </c>
      <c r="F60" s="7" t="inlineStr">
        <is>
          <t>successo</t>
        </is>
      </c>
      <c r="G60" s="2" t="inlineStr">
        <is>
          <t>Communications</t>
        </is>
      </c>
      <c r="H60" s="2" t="inlineStr">
        <is>
          <t>SSO</t>
        </is>
      </c>
      <c r="I60" s="4" t="inlineStr">
        <is>
          <t>Kinéis</t>
        </is>
      </c>
      <c r="J60" s="2" t="inlineStr">
        <is>
          <t>Rocket Lab Launch Complex 1A</t>
        </is>
      </c>
      <c r="K60" s="4" t="inlineStr">
        <is>
          <t>Rocket Lab Launch Complex 1, Mahia Peninsula, New Zealand</t>
        </is>
      </c>
      <c r="L60" s="4" t="inlineStr">
        <is>
          <t>Fourth batch of five satellites for the French Kinéis IoT constellation designed to operate with 25 nanosatellites of 30 kg each.</t>
        </is>
      </c>
      <c r="M60" s="4" t="inlineStr"/>
      <c r="N60" s="6" t="inlineStr">
        <is>
          <t>https://www.youtube.com/watch?v=7Al5hWmjoxQ</t>
        </is>
      </c>
      <c r="O60" s="6" t="inlineStr">
        <is>
          <t>https://ll.thespacedevs.com/2.3.0/launches/f842964b-288f-4100-95d4-3b3510712f81/?format=json</t>
        </is>
      </c>
      <c r="P60" s="2" t="inlineStr">
        <is>
          <t>f842964b-288f-4100-95d4-3b3510712f81</t>
        </is>
      </c>
    </row>
    <row r="61">
      <c r="A61" s="2" t="n">
        <v>60</v>
      </c>
      <c r="B61" s="3" t="n">
        <v>45706</v>
      </c>
      <c r="C61" s="2" t="inlineStr">
        <is>
          <t>23:17</t>
        </is>
      </c>
      <c r="D61" s="2" t="n">
        <v>2025</v>
      </c>
      <c r="E61" s="4" t="inlineStr">
        <is>
          <t>Fasten Your Space Belts (BlackSky Gen-3 1)</t>
        </is>
      </c>
      <c r="F61" s="7" t="inlineStr">
        <is>
          <t>successo</t>
        </is>
      </c>
      <c r="G61" s="2" t="inlineStr">
        <is>
          <t>Earth Science</t>
        </is>
      </c>
      <c r="H61" s="2" t="inlineStr">
        <is>
          <t>LEO</t>
        </is>
      </c>
      <c r="I61" s="4" t="inlineStr">
        <is>
          <t>BlackSky</t>
        </is>
      </c>
      <c r="J61" s="2" t="inlineStr">
        <is>
          <t>Rocket Lab Launch Complex 1B</t>
        </is>
      </c>
      <c r="K61" s="4" t="inlineStr">
        <is>
          <t>Rocket Lab Launch Complex 1, Mahia Peninsula, New Zealand</t>
        </is>
      </c>
      <c r="L61" s="4" t="inlineStr">
        <is>
          <t>The first of five BlackSky Technology missions to deploy its new next-generation BlackSky Gen-3 satellites. The commercial constellation of Gen-3 satellites has the capability to produce imagery with 50-centimeter resolution and host multiple sensors, including in shortwave infrared (SWIR). The improved resolution and enhanced spectral diversity of the Gen-3 satellites will expand BlackSky's ability to provide real-time information to its customers.</t>
        </is>
      </c>
      <c r="M61" s="4" t="inlineStr"/>
      <c r="N61" s="6" t="inlineStr">
        <is>
          <t>https://www.youtube.com/watch?v=pv_Zw8UK3H0</t>
        </is>
      </c>
      <c r="O61" s="6" t="inlineStr">
        <is>
          <t>https://ll.thespacedevs.com/2.3.0/launches/e58b3e2f-0066-4caf-9470-aa404e9a0142/?format=json</t>
        </is>
      </c>
      <c r="P61" s="2" t="inlineStr">
        <is>
          <t>e58b3e2f-0066-4caf-9470-aa404e9a0142</t>
        </is>
      </c>
    </row>
    <row r="62">
      <c r="A62" s="2" t="n">
        <v>61</v>
      </c>
      <c r="B62" s="3" t="n">
        <v>45731</v>
      </c>
      <c r="C62" s="2" t="inlineStr">
        <is>
          <t>00:00</t>
        </is>
      </c>
      <c r="D62" s="2" t="n">
        <v>2025</v>
      </c>
      <c r="E62" s="4" t="inlineStr">
        <is>
          <t>The Lightning God Reigns (iQPS Launch 1)</t>
        </is>
      </c>
      <c r="F62" s="7" t="inlineStr">
        <is>
          <t>successo</t>
        </is>
      </c>
      <c r="G62" s="2" t="inlineStr">
        <is>
          <t>Earth Science</t>
        </is>
      </c>
      <c r="H62" s="2" t="inlineStr">
        <is>
          <t>LEO</t>
        </is>
      </c>
      <c r="I62" s="4" t="inlineStr">
        <is>
          <t>Institute for Q-shu Pioneers of Space</t>
        </is>
      </c>
      <c r="J62" s="2" t="inlineStr">
        <is>
          <t>Rocket Lab Launch Complex 1B</t>
        </is>
      </c>
      <c r="K62" s="4" t="inlineStr">
        <is>
          <t>Rocket Lab Launch Complex 1, Mahia Peninsula, New Zealand</t>
        </is>
      </c>
      <c r="L62" s="4" t="inlineStr">
        <is>
          <t>Synthetic aperture radar Earth observation satellite for Japanese Earth imaging company iQPS.</t>
        </is>
      </c>
      <c r="M62" s="4" t="inlineStr"/>
      <c r="N62" s="6" t="inlineStr">
        <is>
          <t>https://www.youtube.com/watch?v=k-cuTDrVCmQ</t>
        </is>
      </c>
      <c r="O62" s="6" t="inlineStr">
        <is>
          <t>https://ll.thespacedevs.com/2.3.0/launches/113a85d7-2f1c-4302-a1d5-9b8837ab6a33/?format=json</t>
        </is>
      </c>
      <c r="P62" s="2" t="inlineStr">
        <is>
          <t>113a85d7-2f1c-4302-a1d5-9b8837ab6a33</t>
        </is>
      </c>
    </row>
    <row r="63">
      <c r="A63" s="2" t="n">
        <v>62</v>
      </c>
      <c r="B63" s="3" t="n">
        <v>45734</v>
      </c>
      <c r="C63" s="2" t="inlineStr">
        <is>
          <t>01:31</t>
        </is>
      </c>
      <c r="D63" s="2" t="n">
        <v>2025</v>
      </c>
      <c r="E63" s="4" t="inlineStr">
        <is>
          <t>High Five (Kinéis 21-25)</t>
        </is>
      </c>
      <c r="F63" s="7" t="inlineStr">
        <is>
          <t>successo</t>
        </is>
      </c>
      <c r="G63" s="2" t="inlineStr">
        <is>
          <t>Communications</t>
        </is>
      </c>
      <c r="H63" s="2" t="inlineStr">
        <is>
          <t>SSO</t>
        </is>
      </c>
      <c r="I63" s="4" t="inlineStr">
        <is>
          <t>Kinéis</t>
        </is>
      </c>
      <c r="J63" s="2" t="inlineStr">
        <is>
          <t>Rocket Lab Launch Complex 1A</t>
        </is>
      </c>
      <c r="K63" s="4" t="inlineStr">
        <is>
          <t>Rocket Lab Launch Complex 1, Mahia Peninsula, New Zealand</t>
        </is>
      </c>
      <c r="L63" s="4" t="inlineStr">
        <is>
          <t>Last of five batches of five satellites for the French Kinéis IoT constellation designed to operate with 25 nanosatellites of 30 kg each.</t>
        </is>
      </c>
      <c r="M63" s="4" t="inlineStr"/>
      <c r="N63" s="6" t="inlineStr">
        <is>
          <t>https://www.youtube.com/watch?v=d-31hJeW1ec</t>
        </is>
      </c>
      <c r="O63" s="6" t="inlineStr">
        <is>
          <t>https://ll.thespacedevs.com/2.3.0/launches/ad025362-828f-448c-855d-bfe53e04cdeb/?format=json</t>
        </is>
      </c>
      <c r="P63" s="2" t="inlineStr">
        <is>
          <t>ad025362-828f-448c-855d-bfe53e04cdeb</t>
        </is>
      </c>
    </row>
    <row r="64">
      <c r="A64" s="2" t="n">
        <v>63</v>
      </c>
      <c r="B64" s="3" t="n">
        <v>45742</v>
      </c>
      <c r="C64" s="2" t="inlineStr">
        <is>
          <t>15:30</t>
        </is>
      </c>
      <c r="D64" s="2" t="n">
        <v>2025</v>
      </c>
      <c r="E64" s="4" t="inlineStr">
        <is>
          <t>Finding Hot Wildfires Near You (OroraTech OTC-P1)</t>
        </is>
      </c>
      <c r="F64" s="7" t="inlineStr">
        <is>
          <t>successo</t>
        </is>
      </c>
      <c r="G64" s="2" t="inlineStr">
        <is>
          <t>Earth Science</t>
        </is>
      </c>
      <c r="H64" s="2" t="inlineStr">
        <is>
          <t>SSO</t>
        </is>
      </c>
      <c r="I64" s="4" t="inlineStr"/>
      <c r="J64" s="2" t="inlineStr">
        <is>
          <t>Rocket Lab Launch Complex 1B</t>
        </is>
      </c>
      <c r="K64" s="4" t="inlineStr">
        <is>
          <t>Rocket Lab Launch Complex 1, Mahia Peninsula, New Zealand</t>
        </is>
      </c>
      <c r="L64" s="4" t="inlineStr">
        <is>
          <t>8 satellites for a constellation of satellites developed by Orora Technologies (OroraTech) of Germany, with thermal infrared cameras that can provide 24/7 monitoring of wildfires globally, supporting better and faster wildfire response to protect forests, people, and infrastructure worldwide. The company plans to expand their constellation with up to 100 satellites in total by 2028.</t>
        </is>
      </c>
      <c r="M64" s="4" t="inlineStr"/>
      <c r="N64" s="6" t="inlineStr">
        <is>
          <t>https://www.youtube.com/watch?v=M-ozUCTeDFE</t>
        </is>
      </c>
      <c r="O64" s="6" t="inlineStr">
        <is>
          <t>https://ll.thespacedevs.com/2.3.0/launches/94b4e77e-ac83-4b4b-8508-0443bd8bdecf/?format=json</t>
        </is>
      </c>
      <c r="P64" s="2" t="inlineStr">
        <is>
          <t>94b4e77e-ac83-4b4b-8508-0443bd8bdecf</t>
        </is>
      </c>
    </row>
    <row r="65">
      <c r="A65" s="2" t="n">
        <v>64</v>
      </c>
      <c r="B65" s="3" t="n">
        <v>45794</v>
      </c>
      <c r="C65" s="2" t="inlineStr">
        <is>
          <t>08:17</t>
        </is>
      </c>
      <c r="D65" s="2" t="n">
        <v>2025</v>
      </c>
      <c r="E65" s="4" t="inlineStr">
        <is>
          <t>The Sea God Sees (iQPS Launch 2)</t>
        </is>
      </c>
      <c r="F65" s="7" t="inlineStr">
        <is>
          <t>successo</t>
        </is>
      </c>
      <c r="G65" s="2" t="inlineStr">
        <is>
          <t>Earth Science</t>
        </is>
      </c>
      <c r="H65" s="2" t="inlineStr">
        <is>
          <t>LEO</t>
        </is>
      </c>
      <c r="I65" s="4" t="inlineStr">
        <is>
          <t>Institute for Q-shu Pioneers of Space</t>
        </is>
      </c>
      <c r="J65" s="2" t="inlineStr">
        <is>
          <t>Rocket Lab Launch Complex 1A</t>
        </is>
      </c>
      <c r="K65" s="4" t="inlineStr">
        <is>
          <t>Rocket Lab Launch Complex 1, Mahia Peninsula, New Zealand</t>
        </is>
      </c>
      <c r="L65" s="4" t="inlineStr">
        <is>
          <t>Synthetic aperture radar Earth observation satellite for Japanese Earth imaging company iQPS.</t>
        </is>
      </c>
      <c r="M65" s="4" t="inlineStr"/>
      <c r="N65" s="6" t="inlineStr">
        <is>
          <t>https://www.youtube.com/watch?v=5ikgtJOeDW4</t>
        </is>
      </c>
      <c r="O65" s="6" t="inlineStr">
        <is>
          <t>https://ll.thespacedevs.com/2.3.0/launches/a150bf95-0152-410d-9657-423608ddfab4/?format=json</t>
        </is>
      </c>
      <c r="P65" s="2" t="inlineStr">
        <is>
          <t>a150bf95-0152-410d-9657-423608ddfab4</t>
        </is>
      </c>
    </row>
    <row r="66">
      <c r="A66" s="2" t="n">
        <v>65</v>
      </c>
      <c r="B66" s="3" t="n">
        <v>45810</v>
      </c>
      <c r="C66" s="2" t="inlineStr">
        <is>
          <t>23:57</t>
        </is>
      </c>
      <c r="D66" s="2" t="n">
        <v>2025</v>
      </c>
      <c r="E66" s="4" t="inlineStr">
        <is>
          <t>Full Stream Ahead (BlackSky Gen-3 2)</t>
        </is>
      </c>
      <c r="F66" s="7" t="inlineStr">
        <is>
          <t>successo</t>
        </is>
      </c>
      <c r="G66" s="2" t="inlineStr">
        <is>
          <t>Earth Science</t>
        </is>
      </c>
      <c r="H66" s="2" t="inlineStr">
        <is>
          <t>LEO</t>
        </is>
      </c>
      <c r="I66" s="4" t="inlineStr">
        <is>
          <t>BlackSky</t>
        </is>
      </c>
      <c r="J66" s="2" t="inlineStr">
        <is>
          <t>Rocket Lab Launch Complex 1B</t>
        </is>
      </c>
      <c r="K66" s="4" t="inlineStr">
        <is>
          <t>Rocket Lab Launch Complex 1, Mahia Peninsula, New Zealand</t>
        </is>
      </c>
      <c r="L66" s="4" t="inlineStr">
        <is>
          <t>2nd of the BlackSky Gen-3 high resolution Earth-imaging satellites.</t>
        </is>
      </c>
      <c r="M66" s="4" t="inlineStr"/>
      <c r="N66" s="6" t="inlineStr">
        <is>
          <t>https://www.youtube.com/watch?v=yD0qIdUOYnU</t>
        </is>
      </c>
      <c r="O66" s="6" t="inlineStr">
        <is>
          <t>https://ll.thespacedevs.com/2.3.0/launches/96f437cb-83c1-414b-8e32-d0e1bd6c265b/?format=json</t>
        </is>
      </c>
      <c r="P66" s="2" t="inlineStr">
        <is>
          <t>96f437cb-83c1-414b-8e32-d0e1bd6c265b</t>
        </is>
      </c>
    </row>
    <row r="67">
      <c r="A67" s="2" t="n">
        <v>66</v>
      </c>
      <c r="B67" s="3" t="n">
        <v>45819</v>
      </c>
      <c r="C67" s="2" t="inlineStr">
        <is>
          <t>15:31</t>
        </is>
      </c>
      <c r="D67" s="2" t="n">
        <v>2025</v>
      </c>
      <c r="E67" s="4" t="inlineStr">
        <is>
          <t>The Mountain God Guards (iQPS Launch 3)</t>
        </is>
      </c>
      <c r="F67" s="7" t="inlineStr">
        <is>
          <t>successo</t>
        </is>
      </c>
      <c r="G67" s="2" t="inlineStr">
        <is>
          <t>Earth Science</t>
        </is>
      </c>
      <c r="H67" s="2" t="inlineStr">
        <is>
          <t>LEO</t>
        </is>
      </c>
      <c r="I67" s="4" t="inlineStr">
        <is>
          <t>Institute for Q-shu Pioneers of Space</t>
        </is>
      </c>
      <c r="J67" s="2" t="inlineStr">
        <is>
          <t>Rocket Lab Launch Complex 1A</t>
        </is>
      </c>
      <c r="K67" s="4" t="inlineStr">
        <is>
          <t>Rocket Lab Launch Complex 1, Mahia Peninsula, New Zealand</t>
        </is>
      </c>
      <c r="L67" s="4" t="inlineStr">
        <is>
          <t>Synthetic aperture radar Earth observation satellite for Japanese Earth imaging company iQPS.</t>
        </is>
      </c>
      <c r="M67" s="4" t="inlineStr"/>
      <c r="N67" s="6" t="inlineStr">
        <is>
          <t>https://www.youtube.com/watch?v=PplSn4YNbz0</t>
        </is>
      </c>
      <c r="O67" s="6" t="inlineStr">
        <is>
          <t>https://ll.thespacedevs.com/2.3.0/launches/0a4ae6ce-07ef-4e48-9b4d-0bf4e1182134/?format=json</t>
        </is>
      </c>
      <c r="P67" s="2" t="inlineStr">
        <is>
          <t>0a4ae6ce-07ef-4e48-9b4d-0bf4e1182134</t>
        </is>
      </c>
    </row>
    <row r="68">
      <c r="A68" s="2" t="n">
        <v>67</v>
      </c>
      <c r="B68" s="3" t="n">
        <v>45834</v>
      </c>
      <c r="C68" s="2" t="inlineStr">
        <is>
          <t>17:28</t>
        </is>
      </c>
      <c r="D68" s="2" t="n">
        <v>2025</v>
      </c>
      <c r="E68" s="4" t="inlineStr">
        <is>
          <t>Get The Hawk Outta Here (4x HawkEye 360)</t>
        </is>
      </c>
      <c r="F68" s="7" t="inlineStr">
        <is>
          <t>successo</t>
        </is>
      </c>
      <c r="G68" s="2" t="inlineStr">
        <is>
          <t>Earth Science</t>
        </is>
      </c>
      <c r="H68" s="2" t="inlineStr">
        <is>
          <t>LEO</t>
        </is>
      </c>
      <c r="I68" s="4" t="inlineStr">
        <is>
          <t>HawkEye 360</t>
        </is>
      </c>
      <c r="J68" s="2" t="inlineStr">
        <is>
          <t>Rocket Lab Launch Complex 1A</t>
        </is>
      </c>
      <c r="K68" s="4" t="inlineStr">
        <is>
          <t>Rocket Lab Launch Complex 1, Mahia Peninsula, New Zealand</t>
        </is>
      </c>
      <c r="L68" s="4" t="inlineStr">
        <is>
          <t>HawkEye 360 is a a space-based civil global intelligence satellite network using radio frequency (RF) technology to help monitor transportation across air, land and sea and assist with emergencies, and to provide civil SIGINT (Signal Intelligence) mission. The constellation of small satellites (named Hawk) will collect information on specific radio signals worldwide to provide high-precision radio frequency mapping and analytics from Low Earth orbit (LEO). 3 of the satellites will comprise HawkEye 360’s Cluster 12 and will operate in a dawn-to-dusk polar orbit, while the 4th is Kestrel-0A, an experimental satellite designed to evaluate emerging capabilities and future technology enhancements.</t>
        </is>
      </c>
      <c r="M68" s="4" t="inlineStr"/>
      <c r="N68" s="6" t="inlineStr">
        <is>
          <t>https://www.youtube.com/watch?v=sincLVbpw4w</t>
        </is>
      </c>
      <c r="O68" s="6" t="inlineStr">
        <is>
          <t>https://ll.thespacedevs.com/2.3.0/launches/140dd3f9-da40-4558-878f-a84246d76151/?format=json</t>
        </is>
      </c>
      <c r="P68" s="2" t="inlineStr">
        <is>
          <t>140dd3f9-da40-4558-878f-a84246d76151</t>
        </is>
      </c>
    </row>
    <row r="69">
      <c r="A69" s="2" t="n">
        <v>68</v>
      </c>
      <c r="B69" s="3" t="n">
        <v>45836</v>
      </c>
      <c r="C69" s="2" t="inlineStr">
        <is>
          <t>07:08</t>
        </is>
      </c>
      <c r="D69" s="2" t="n">
        <v>2025</v>
      </c>
      <c r="E69" s="4" t="inlineStr">
        <is>
          <t>Symphony In The Stars (EchoStar Lyra-4)</t>
        </is>
      </c>
      <c r="F69" s="7" t="inlineStr">
        <is>
          <t>successo</t>
        </is>
      </c>
      <c r="G69" s="2" t="inlineStr">
        <is>
          <t>Communications</t>
        </is>
      </c>
      <c r="H69" s="2" t="inlineStr">
        <is>
          <t>SSO</t>
        </is>
      </c>
      <c r="I69" s="4" t="inlineStr"/>
      <c r="J69" s="2" t="inlineStr">
        <is>
          <t>Rocket Lab Launch Complex 1B</t>
        </is>
      </c>
      <c r="K69" s="4" t="inlineStr">
        <is>
          <t>Rocket Lab Launch Complex 1, Mahia Peninsula, New Zealand</t>
        </is>
      </c>
      <c r="L69" s="4" t="inlineStr">
        <is>
          <t>'Symphony In The Stars' is the first of two dedicated missions on Electron to deploy a single spacecraft to a 650km circular Earth orbit for a confidential commercial customer. A second dedicated launch on Electron to meet those same mission requirements is scheduled for launch before the end of 2025. The payload has since been identified by USSF as EchoStar's Lyra-4, an EchoStar Lyra Block 1 satellite. It is a 4-satellite constellation that will deliver global Internet of Things (IoT), machine-to-machine (M2M) and other data services through S-band. EchoStar will operate the constellation from its Australian subsidiary, EchoStar Global.</t>
        </is>
      </c>
      <c r="M69" s="4" t="inlineStr"/>
      <c r="N69" s="6" t="inlineStr">
        <is>
          <t>https://www.youtube.com/watch?v=ewgd5BPw4tc</t>
        </is>
      </c>
      <c r="O69" s="6" t="inlineStr">
        <is>
          <t>https://ll.thespacedevs.com/2.3.0/launches/0f16b696-d248-4096-9be7-953802c569b2/?format=json</t>
        </is>
      </c>
      <c r="P69" s="2" t="inlineStr">
        <is>
          <t>0f16b696-d248-4096-9be7-953802c569b2</t>
        </is>
      </c>
    </row>
    <row r="70">
      <c r="A70" s="2" t="n">
        <v>69</v>
      </c>
      <c r="B70" s="3" t="n">
        <v>45874</v>
      </c>
      <c r="C70" s="2" t="inlineStr">
        <is>
          <t>04:10</t>
        </is>
      </c>
      <c r="D70" s="2" t="n">
        <v>2025</v>
      </c>
      <c r="E70" s="4" t="inlineStr">
        <is>
          <t>The Harvest Goddess Thrives (iQPS Launch 4)</t>
        </is>
      </c>
      <c r="F70" s="7" t="inlineStr">
        <is>
          <t>successo</t>
        </is>
      </c>
      <c r="G70" s="2" t="inlineStr">
        <is>
          <t>Earth Science</t>
        </is>
      </c>
      <c r="H70" s="2" t="inlineStr">
        <is>
          <t>LEO</t>
        </is>
      </c>
      <c r="I70" s="4" t="inlineStr"/>
      <c r="J70" s="2" t="inlineStr">
        <is>
          <t>Rocket Lab Launch Complex 1B</t>
        </is>
      </c>
      <c r="K70" s="4" t="inlineStr">
        <is>
          <t>Rocket Lab Launch Complex 1, Mahia Peninsula, New Zealand</t>
        </is>
      </c>
      <c r="L70" s="4" t="inlineStr">
        <is>
          <t>Synthetic aperture radar Earth observation satellite for Japanese Earth imaging company iQPS.</t>
        </is>
      </c>
      <c r="M70" s="4" t="inlineStr"/>
      <c r="N70" s="6" t="inlineStr">
        <is>
          <t>https://www.youtube.com/watch?v=_LAy4XiKNvQ</t>
        </is>
      </c>
      <c r="O70" s="6" t="inlineStr">
        <is>
          <t>https://ll.thespacedevs.com/2.3.0/launches/fc69c107-b0ad-47e9-8973-9de75a7c6b6d/?format=json</t>
        </is>
      </c>
      <c r="P70" s="2" t="inlineStr">
        <is>
          <t>fc69c107-b0ad-47e9-8973-9de75a7c6b6d</t>
        </is>
      </c>
    </row>
    <row r="71">
      <c r="A71" s="2" t="n">
        <v>70</v>
      </c>
      <c r="B71" s="3" t="n">
        <v>45892</v>
      </c>
      <c r="C71" s="2" t="inlineStr">
        <is>
          <t>22:42</t>
        </is>
      </c>
      <c r="D71" s="2" t="n">
        <v>2025</v>
      </c>
      <c r="E71" s="4" t="inlineStr">
        <is>
          <t>Live, Laugh, Launch (Calistus A-E)</t>
        </is>
      </c>
      <c r="F71" s="7" t="inlineStr">
        <is>
          <t>successo</t>
        </is>
      </c>
      <c r="G71" s="2" t="inlineStr">
        <is>
          <t>Communications</t>
        </is>
      </c>
      <c r="H71" s="2" t="inlineStr">
        <is>
          <t>SSO</t>
        </is>
      </c>
      <c r="I71" s="4" t="inlineStr"/>
      <c r="J71" s="2" t="inlineStr">
        <is>
          <t>Rocket Lab Launch Complex 1A</t>
        </is>
      </c>
      <c r="K71" s="4" t="inlineStr">
        <is>
          <t>Rocket Lab Launch Complex 1, Mahia Peninsula, New Zealand</t>
        </is>
      </c>
      <c r="L71" s="4" t="inlineStr">
        <is>
          <t>'Live, Laugh, Launch' is the second of two dedicated missions on Electron for a confidential customer in 2025. This mission deployed 5 satellites to a 655 km circular Earth orbit identified as “Calistus A to E”, identified as most likely for Low Earth Orbit communication satellite constellation operator E-Space.</t>
        </is>
      </c>
      <c r="M71" s="4" t="inlineStr"/>
      <c r="N71" s="6" t="inlineStr">
        <is>
          <t>https://www.youtube.com/watch?v=OggyCnnCJec</t>
        </is>
      </c>
      <c r="O71" s="6" t="inlineStr">
        <is>
          <t>https://ll.thespacedevs.com/2.3.0/launches/5b483b3d-d5c5-44df-8a67-c5a8ad87a123/?format=json</t>
        </is>
      </c>
      <c r="P71" s="2" t="inlineStr">
        <is>
          <t>5b483b3d-d5c5-44df-8a67-c5a8ad87a123</t>
        </is>
      </c>
    </row>
    <row r="72">
      <c r="A72" s="2" t="n">
        <v>71</v>
      </c>
      <c r="B72" s="3" t="n">
        <v>45923</v>
      </c>
      <c r="C72" s="2" t="inlineStr">
        <is>
          <t>00:00</t>
        </is>
      </c>
      <c r="D72" s="2" t="n">
        <v>2025</v>
      </c>
      <c r="E72" s="4" t="inlineStr">
        <is>
          <t>JENNA</t>
        </is>
      </c>
      <c r="F72" s="7" t="inlineStr">
        <is>
          <t>successo</t>
        </is>
      </c>
      <c r="G72" s="2" t="inlineStr">
        <is>
          <t>Government/Top Secret</t>
        </is>
      </c>
      <c r="H72" s="2" t="inlineStr">
        <is>
          <t>Sub</t>
        </is>
      </c>
      <c r="I72" s="4" t="inlineStr"/>
      <c r="J72" s="2" t="inlineStr">
        <is>
          <t>Rocket Lab Launch Complex 2 (Launch Area 0 C)</t>
        </is>
      </c>
      <c r="K72" s="4" t="inlineStr">
        <is>
          <t>Wallops Flight Facility, Virginia, USA</t>
        </is>
      </c>
      <c r="L72" s="4" t="inlineStr">
        <is>
          <t>Sub-orbital launch under Rocket Lab’s Hypersonic Accelerator Suborbital Test Electron (HASTE) program, details TBD.</t>
        </is>
      </c>
      <c r="M72" s="4" t="inlineStr"/>
      <c r="N72" s="2" t="inlineStr"/>
      <c r="O72" s="6" t="inlineStr">
        <is>
          <t>https://ll.thespacedevs.com/2.3.0/launches/10cb03bb-53df-462f-be12-e8e4b8dcca82/?format=json</t>
        </is>
      </c>
      <c r="P72" s="2" t="inlineStr">
        <is>
          <t>10cb03bb-53df-462f-be12-e8e4b8dcca82</t>
        </is>
      </c>
    </row>
    <row r="73">
      <c r="A73" s="2" t="n">
        <v>72</v>
      </c>
      <c r="B73" s="3" t="n">
        <v>45931</v>
      </c>
      <c r="C73" s="2" t="inlineStr">
        <is>
          <t>00:28</t>
        </is>
      </c>
      <c r="D73" s="2" t="n">
        <v>2025</v>
      </c>
      <c r="E73" s="4" t="inlineStr">
        <is>
          <t>JUSTIN</t>
        </is>
      </c>
      <c r="F73" s="7" t="inlineStr">
        <is>
          <t>successo</t>
        </is>
      </c>
      <c r="G73" s="2" t="inlineStr">
        <is>
          <t>Government/Top Secret</t>
        </is>
      </c>
      <c r="H73" s="2" t="inlineStr">
        <is>
          <t>Sub</t>
        </is>
      </c>
      <c r="I73" s="4" t="inlineStr"/>
      <c r="J73" s="2" t="inlineStr">
        <is>
          <t>Rocket Lab Launch Complex 2 (Launch Area 0 C)</t>
        </is>
      </c>
      <c r="K73" s="4" t="inlineStr">
        <is>
          <t>Wallops Flight Facility, Virginia, USA</t>
        </is>
      </c>
      <c r="L73" s="4" t="inlineStr">
        <is>
          <t>Sub-orbital launch under Rocket Lab’s Hypersonic Accelerator Suborbital Test Electron (HASTE) program, details TBD.</t>
        </is>
      </c>
      <c r="M73" s="4" t="inlineStr"/>
      <c r="N73" s="2" t="inlineStr"/>
      <c r="O73" s="6" t="inlineStr">
        <is>
          <t>https://ll.thespacedevs.com/2.3.0/launches/d260a1bc-c448-4751-8ea6-bc20a3cab779/?format=json</t>
        </is>
      </c>
      <c r="P73" s="2" t="inlineStr">
        <is>
          <t>d260a1bc-c448-4751-8ea6-bc20a3cab779</t>
        </is>
      </c>
    </row>
    <row r="74">
      <c r="A74" s="2" t="n">
        <v>73</v>
      </c>
      <c r="B74" s="3" t="n">
        <v>45944</v>
      </c>
      <c r="C74" s="2" t="inlineStr">
        <is>
          <t>16:33</t>
        </is>
      </c>
      <c r="D74" s="2" t="n">
        <v>2025</v>
      </c>
      <c r="E74" s="4" t="inlineStr">
        <is>
          <t>Owl New World (StriX Launch 7)</t>
        </is>
      </c>
      <c r="F74" s="7" t="inlineStr">
        <is>
          <t>successo</t>
        </is>
      </c>
      <c r="G74" s="2" t="inlineStr">
        <is>
          <t>Earth Science</t>
        </is>
      </c>
      <c r="H74" s="2" t="inlineStr">
        <is>
          <t>LEO</t>
        </is>
      </c>
      <c r="I74" s="4" t="inlineStr">
        <is>
          <t>Synspective</t>
        </is>
      </c>
      <c r="J74" s="2" t="inlineStr">
        <is>
          <t>Rocket Lab Launch Complex 1A</t>
        </is>
      </c>
      <c r="K74" s="4" t="inlineStr">
        <is>
          <t>Rocket Lab Launch Complex 1, Mahia Peninsula, New Zealand</t>
        </is>
      </c>
      <c r="L74" s="4" t="inlineStr">
        <is>
          <t>Synthetic aperture radar satellite for Japanese Earth imaging company Synspective.</t>
        </is>
      </c>
      <c r="M74" s="4" t="inlineStr"/>
      <c r="N74" s="6" t="inlineStr">
        <is>
          <t>https://www.youtube.com/watch?v=gkvby1Prnjs</t>
        </is>
      </c>
      <c r="O74" s="6" t="inlineStr">
        <is>
          <t>https://ll.thespacedevs.com/2.3.0/launches/66172ee0-3d02-4640-a802-55025a51172d/?format=json</t>
        </is>
      </c>
      <c r="P74" s="2" t="inlineStr">
        <is>
          <t>66172ee0-3d02-4640-a802-55025a51172d</t>
        </is>
      </c>
    </row>
    <row r="75">
      <c r="A75" s="2" t="n">
        <v>74</v>
      </c>
      <c r="B75" s="3" t="n">
        <v>45966</v>
      </c>
      <c r="C75" s="2" t="inlineStr">
        <is>
          <t>19:51</t>
        </is>
      </c>
      <c r="D75" s="2" t="n">
        <v>2025</v>
      </c>
      <c r="E75" s="4" t="inlineStr">
        <is>
          <t>The Nation God Navigates (iQPS Launch 5)</t>
        </is>
      </c>
      <c r="F75" s="7" t="inlineStr">
        <is>
          <t>successo</t>
        </is>
      </c>
      <c r="G75" s="2" t="inlineStr">
        <is>
          <t>Earth Science</t>
        </is>
      </c>
      <c r="H75" s="2" t="inlineStr">
        <is>
          <t>LEO</t>
        </is>
      </c>
      <c r="I75" s="4" t="inlineStr"/>
      <c r="J75" s="2" t="inlineStr">
        <is>
          <t>Rocket Lab Launch Complex 1B</t>
        </is>
      </c>
      <c r="K75" s="4" t="inlineStr">
        <is>
          <t>Rocket Lab Launch Complex 1, Mahia Peninsula, New Zealand</t>
        </is>
      </c>
      <c r="L75" s="4" t="inlineStr">
        <is>
          <t>Synthetic aperture radar Earth observation satellite for Japanese Earth imaging company iQPS.</t>
        </is>
      </c>
      <c r="M75" s="4" t="inlineStr"/>
      <c r="N75" s="6" t="inlineStr">
        <is>
          <t>https://www.youtube.com/watch?v=BM8OCzwJtMg</t>
        </is>
      </c>
      <c r="O75" s="6" t="inlineStr">
        <is>
          <t>https://ll.thespacedevs.com/2.3.0/launches/5d816773-89cb-48b9-9bf0-a9c4d8236785/?format=json</t>
        </is>
      </c>
      <c r="P75" s="2" t="inlineStr">
        <is>
          <t>5d816773-89cb-48b9-9bf0-a9c4d8236785</t>
        </is>
      </c>
    </row>
    <row r="76">
      <c r="A76" s="2" t="n">
        <v>75</v>
      </c>
      <c r="B76" s="3" t="n">
        <v>45979</v>
      </c>
      <c r="C76" s="2" t="inlineStr">
        <is>
          <t>13:00</t>
        </is>
      </c>
      <c r="D76" s="2" t="n">
        <v>2025</v>
      </c>
      <c r="E76" s="4" t="inlineStr">
        <is>
          <t>Prometheus Run (VAN)</t>
        </is>
      </c>
      <c r="F76" s="7" t="inlineStr">
        <is>
          <t>successo</t>
        </is>
      </c>
      <c r="G76" s="2" t="inlineStr">
        <is>
          <t>Government/Top Secret</t>
        </is>
      </c>
      <c r="H76" s="2" t="inlineStr">
        <is>
          <t>Sub</t>
        </is>
      </c>
      <c r="I76" s="4" t="inlineStr"/>
      <c r="J76" s="2" t="inlineStr">
        <is>
          <t>Rocket Lab Launch Complex 2 (Launch Area 0 C)</t>
        </is>
      </c>
      <c r="K76" s="4" t="inlineStr">
        <is>
          <t>Wallops Flight Facility, Virginia, USA</t>
        </is>
      </c>
      <c r="L76" s="4" t="inlineStr">
        <is>
          <t>Sub-orbital launch under Rocket Lab’s Hypersonic Accelerator Suborbital Test Electron (HASTE) program. This mission was lead by MDA and deployed a government-provided primary payload developed by the John Hopkins University Applied Physics Laboratory (JHUAPL), and multiple secondary payloads by federal and industry partners, which tested key technologies for missile defense applications. The mission was contracted to Rocket Lab through the DIU’s Hypersonic and High-Cadence Airborne Testing Capabilities (HyCAT) program, an initiative supporting test and evaluation of new and emerging hypersonic technologies through low cost, responsive and long endurance flight testing.</t>
        </is>
      </c>
      <c r="M76" s="4" t="inlineStr"/>
      <c r="N76" s="6" t="inlineStr">
        <is>
          <t>https://www.youtube.com/watch?v=n3EppO2wppQ</t>
        </is>
      </c>
      <c r="O76" s="6" t="inlineStr">
        <is>
          <t>https://ll.thespacedevs.com/2.3.0/launches/089a182d-7e8a-48d8-815c-eefbade8110c/?format=json</t>
        </is>
      </c>
      <c r="P76" s="2" t="inlineStr">
        <is>
          <t>089a182d-7e8a-48d8-815c-eefbade8110c</t>
        </is>
      </c>
    </row>
    <row r="77">
      <c r="A77" s="2" t="n">
        <v>76</v>
      </c>
      <c r="B77" s="3" t="n">
        <v>45981</v>
      </c>
      <c r="C77" s="2" t="inlineStr">
        <is>
          <t>12:43</t>
        </is>
      </c>
      <c r="D77" s="2" t="n">
        <v>2025</v>
      </c>
      <c r="E77" s="4" t="inlineStr">
        <is>
          <t>Follow My Speed (BlackSky Gen-3 3)</t>
        </is>
      </c>
      <c r="F77" s="7" t="inlineStr">
        <is>
          <t>successo</t>
        </is>
      </c>
      <c r="G77" s="2" t="inlineStr">
        <is>
          <t>Earth Science</t>
        </is>
      </c>
      <c r="H77" s="2" t="inlineStr">
        <is>
          <t>LEO</t>
        </is>
      </c>
      <c r="I77" s="4" t="inlineStr">
        <is>
          <t>BlackSky</t>
        </is>
      </c>
      <c r="J77" s="2" t="inlineStr">
        <is>
          <t>Rocket Lab Launch Complex 1A</t>
        </is>
      </c>
      <c r="K77" s="4" t="inlineStr">
        <is>
          <t>Rocket Lab Launch Complex 1, Mahia Peninsula, New Zealand</t>
        </is>
      </c>
      <c r="L77" s="4" t="inlineStr">
        <is>
          <t>Note: Payload and customer identities were not publicly announced. 3rd of the BlackSky Gen-3 high resolution Earth-imaging satellites.</t>
        </is>
      </c>
      <c r="M77" s="4" t="inlineStr"/>
      <c r="N77" s="6" t="inlineStr">
        <is>
          <t>https://www.youtube.com/watch?v=q-w-ZUYyEAo</t>
        </is>
      </c>
      <c r="O77" s="6" t="inlineStr">
        <is>
          <t>https://ll.thespacedevs.com/2.3.0/launches/f9e4852a-fba8-4937-9a86-5a05b3244fb1/?format=json</t>
        </is>
      </c>
      <c r="P77" s="2" t="inlineStr">
        <is>
          <t>f9e4852a-fba8-4937-9a86-5a05b3244fb1</t>
        </is>
      </c>
    </row>
    <row r="78">
      <c r="A78" s="2" t="n">
        <v>77</v>
      </c>
      <c r="B78" s="3" t="n">
        <v>46005</v>
      </c>
      <c r="C78" s="2" t="inlineStr">
        <is>
          <t>03:09</t>
        </is>
      </c>
      <c r="D78" s="2" t="n">
        <v>2025</v>
      </c>
      <c r="E78" s="4" t="inlineStr">
        <is>
          <t>Raise and Shine (RAISE-4)</t>
        </is>
      </c>
      <c r="F78" s="7" t="inlineStr">
        <is>
          <t>successo</t>
        </is>
      </c>
      <c r="G78" s="2" t="inlineStr">
        <is>
          <t>Technology</t>
        </is>
      </c>
      <c r="H78" s="2" t="inlineStr">
        <is>
          <t>SSO</t>
        </is>
      </c>
      <c r="I78" s="4" t="inlineStr">
        <is>
          <t>Japan Aerospace Exploration Agency</t>
        </is>
      </c>
      <c r="J78" s="2" t="inlineStr">
        <is>
          <t>Rocket Lab Launch Complex 1B</t>
        </is>
      </c>
      <c r="K78" s="4" t="inlineStr">
        <is>
          <t>Rocket Lab Launch Complex 1, Mahia Peninsula, New Zealand</t>
        </is>
      </c>
      <c r="L78" s="4" t="inlineStr">
        <is>
          <t>RAISE-4 (RApid Innovative payload demonstration Satellite-4) is a Japan Aerospace Exploration Agency (JAXA) satellite for on-orbit demonstrations of 15 demonstration components and equipment selected by public solicitation. The satellite will be operated in response to requests from the demonstration theme proposers, and will provide experimental data of the demonstration devices and environmental data during the experiments. 6 of the demonstration payload, as well as as well as 4 cubesats originally planned to ride on the same launch vehicle, are re-flight of those planned for RAISE-3, which failed to reach orbit in October 2022. The launch vehicle was switched from Epsilon-S to Rocket Lab's Electron due to continuous testing problems with the Epsilon-S' 2nd stage motor. The original 8 hitch-hiking cubesats will be launched on another Electron rocket later.</t>
        </is>
      </c>
      <c r="M78" s="4" t="inlineStr"/>
      <c r="N78" s="6" t="inlineStr">
        <is>
          <t>https://www.youtube.com/watch?v=cMP328yoUu4</t>
        </is>
      </c>
      <c r="O78" s="6" t="inlineStr">
        <is>
          <t>https://ll.thespacedevs.com/2.3.0/launches/de6db617-3d40-414a-86d6-f365b130df30/?format=json</t>
        </is>
      </c>
      <c r="P78" s="2" t="inlineStr">
        <is>
          <t>de6db617-3d40-414a-86d6-f365b130df30</t>
        </is>
      </c>
    </row>
    <row r="79">
      <c r="A79" s="2" t="n">
        <v>78</v>
      </c>
      <c r="B79" s="3" t="n">
        <v>46009</v>
      </c>
      <c r="C79" s="2" t="inlineStr">
        <is>
          <t>05:03</t>
        </is>
      </c>
      <c r="D79" s="2" t="n">
        <v>2025</v>
      </c>
      <c r="E79" s="4" t="inlineStr">
        <is>
          <t>Don't Be Such A Square (STP-S30)</t>
        </is>
      </c>
      <c r="F79" s="7" t="inlineStr">
        <is>
          <t>successo</t>
        </is>
      </c>
      <c r="G79" s="2" t="inlineStr">
        <is>
          <t>Technology</t>
        </is>
      </c>
      <c r="H79" s="2" t="inlineStr">
        <is>
          <t>LEO</t>
        </is>
      </c>
      <c r="I79" s="4" t="inlineStr">
        <is>
          <t>United States Space Force</t>
        </is>
      </c>
      <c r="J79" s="2" t="inlineStr">
        <is>
          <t>Rocket Lab Launch Complex 2 (Launch Area 0 C)</t>
        </is>
      </c>
      <c r="K79" s="4" t="inlineStr">
        <is>
          <t>Wallops Flight Facility, Virginia, USA</t>
        </is>
      </c>
      <c r="L79" s="4" t="inlineStr">
        <is>
          <t>STP-S30 is a complex mission that will deliver research experiments and technology demonstrations to orbit for the DoD and contribute to future space systems development. The projected primary payload, DISKSat, will demonstrate sustained very low earth orbit (VLEO) flight and test a unique, 1-meter diameter, disk-shaped satellite bus that is designed to increase on-orbit persistence.</t>
        </is>
      </c>
      <c r="M79" s="4" t="inlineStr"/>
      <c r="N79" s="6" t="inlineStr">
        <is>
          <t>https://www.youtube.com/watch?v=MCYZR_Btmys</t>
        </is>
      </c>
      <c r="O79" s="6" t="inlineStr">
        <is>
          <t>https://ll.thespacedevs.com/2.3.0/launches/4a0681be-ed20-40b9-870b-38de1583c0ef/?format=json</t>
        </is>
      </c>
      <c r="P79" s="2" t="inlineStr">
        <is>
          <t>4a0681be-ed20-40b9-870b-38de1583c0ef</t>
        </is>
      </c>
    </row>
    <row r="80">
      <c r="A80" s="2" t="n">
        <v>79</v>
      </c>
      <c r="B80" s="3" t="n">
        <v>46012</v>
      </c>
      <c r="C80" s="2" t="inlineStr">
        <is>
          <t>06:36</t>
        </is>
      </c>
      <c r="D80" s="2" t="n">
        <v>2025</v>
      </c>
      <c r="E80" s="4" t="inlineStr">
        <is>
          <t>The Wisdom God Guides (iQPS Launch 6)</t>
        </is>
      </c>
      <c r="F80" s="7" t="inlineStr">
        <is>
          <t>successo</t>
        </is>
      </c>
      <c r="G80" s="2" t="inlineStr">
        <is>
          <t>Earth Science</t>
        </is>
      </c>
      <c r="H80" s="2" t="inlineStr">
        <is>
          <t>LEO</t>
        </is>
      </c>
      <c r="I80" s="4" t="inlineStr"/>
      <c r="J80" s="2" t="inlineStr">
        <is>
          <t>Rocket Lab Launch Complex 1B</t>
        </is>
      </c>
      <c r="K80" s="4" t="inlineStr">
        <is>
          <t>Rocket Lab Launch Complex 1, Mahia Peninsula, New Zealand</t>
        </is>
      </c>
      <c r="L80" s="4" t="inlineStr">
        <is>
          <t>Synthetic aperture radar Earth observation satellite for Japanese Earth imaging company iQPS.</t>
        </is>
      </c>
      <c r="M80" s="4" t="inlineStr"/>
      <c r="N80" s="6" t="inlineStr">
        <is>
          <t>https://www.youtube.com/watch?v=qqhWp-kgGkg</t>
        </is>
      </c>
      <c r="O80" s="6" t="inlineStr">
        <is>
          <t>https://ll.thespacedevs.com/2.3.0/launches/1e562a6b-f1eb-4c9c-a074-4172c831ed70/?format=json</t>
        </is>
      </c>
      <c r="P80" s="2" t="inlineStr">
        <is>
          <t>1e562a6b-f1eb-4c9c-a074-4172c831ed70</t>
        </is>
      </c>
    </row>
    <row r="81">
      <c r="A81" s="2" t="n">
        <v>80</v>
      </c>
      <c r="B81" s="3" t="n">
        <v>46044</v>
      </c>
      <c r="C81" s="2" t="inlineStr">
        <is>
          <t>10:52</t>
        </is>
      </c>
      <c r="D81" s="2" t="n">
        <v>2026</v>
      </c>
      <c r="E81" s="4" t="inlineStr">
        <is>
          <t>The Cosmos Will See You Now (Open Cosmos Constellation Launch 1)</t>
        </is>
      </c>
      <c r="F81" s="7" t="inlineStr">
        <is>
          <t>successo</t>
        </is>
      </c>
      <c r="G81" s="2" t="inlineStr">
        <is>
          <t>Communications</t>
        </is>
      </c>
      <c r="H81" s="2" t="inlineStr">
        <is>
          <t>PO</t>
        </is>
      </c>
      <c r="I81" s="4" t="inlineStr"/>
      <c r="J81" s="2" t="inlineStr">
        <is>
          <t>Rocket Lab Launch Complex 1A</t>
        </is>
      </c>
      <c r="K81" s="4" t="inlineStr">
        <is>
          <t>Rocket Lab Launch Complex 1, Mahia Peninsula, New Zealand</t>
        </is>
      </c>
      <c r="L81" s="4" t="inlineStr">
        <is>
          <t>First 2 satellites (named MR-1 and MR-2) of UK-based Open Cosmos' secure LEO broadband constellation designed to provide independent and resilient connectivity infrastructure for Europe and the world, using high-priority Ka-band spectrum filings by the Principality of Liechtenstein.</t>
        </is>
      </c>
      <c r="M81" s="4" t="inlineStr"/>
      <c r="N81" s="6" t="inlineStr">
        <is>
          <t>https://www.youtube.com/watch?v=jNX7oNUpvE8</t>
        </is>
      </c>
      <c r="O81" s="6" t="inlineStr">
        <is>
          <t>https://ll.thespacedevs.com/2.3.0/launches/50a682c6-1da0-4859-a163-4182c7619178/?format=json</t>
        </is>
      </c>
      <c r="P81" s="2" t="inlineStr">
        <is>
          <t>50a682c6-1da0-4859-a163-4182c7619178</t>
        </is>
      </c>
    </row>
    <row r="82">
      <c r="A82" s="2" t="n">
        <v>81</v>
      </c>
      <c r="B82" s="3" t="n">
        <v>46052</v>
      </c>
      <c r="C82" s="2" t="inlineStr">
        <is>
          <t>01:21</t>
        </is>
      </c>
      <c r="D82" s="2" t="n">
        <v>2026</v>
      </c>
      <c r="E82" s="4" t="inlineStr">
        <is>
          <t>Bridging The Swarm (NeonSat-1A)</t>
        </is>
      </c>
      <c r="F82" s="7" t="inlineStr">
        <is>
          <t>successo</t>
        </is>
      </c>
      <c r="G82" s="2" t="inlineStr">
        <is>
          <t>Earth Science</t>
        </is>
      </c>
      <c r="H82" s="2" t="inlineStr">
        <is>
          <t>SSO</t>
        </is>
      </c>
      <c r="I82" s="4" t="inlineStr"/>
      <c r="J82" s="2" t="inlineStr">
        <is>
          <t>Rocket Lab Launch Complex 1A</t>
        </is>
      </c>
      <c r="K82" s="4" t="inlineStr">
        <is>
          <t>Rocket Lab Launch Complex 1, Mahia Peninsula, New Zealand</t>
        </is>
      </c>
      <c r="L82" s="4" t="inlineStr">
        <is>
          <t>The NeonSat-1A, carrying a high-resolution optical camera, is designed to test the constellation capabilities of the South Korean government's Earth observation micro-satellite constellation NeonSat (New-space Earth Observation Satellite), in particular technology improvements identified from operations of NeonSat-1 after its launch in April 2024. These technologies will in turn be incorporated into the next 10 NeonSat under construction, as well as providing more site re-visiting capabilities along with NeonSat-1. The NeonSat constellation is the first satellite system developed by the government using a mass-production approach for precise monitoring of the Korean Peninsula, lead by the Satellite Technology Research Center (SaTReC) at the Korea Advanced Institute of Science and Technology (KAIST), Korea’s leading university dedicated to science and technology. Designed to capture near-real time natural disaster monitoring for the Korean peninsula, KAIST’s NEONSAT constellation is a collaboration across multiple Korean academic, industry, and research institutions, including SaTReC, which is leading the program’s system design and engineering. The NEONSAT program is funded by the Korean government’s Ministry of Science and ICT (MSIT).</t>
        </is>
      </c>
      <c r="M82" s="4" t="inlineStr"/>
      <c r="N82" s="6" t="inlineStr">
        <is>
          <t>https://www.youtube.com/watch?v=Iie55rBgwZY</t>
        </is>
      </c>
      <c r="O82" s="6" t="inlineStr">
        <is>
          <t>https://ll.thespacedevs.com/2.3.0/launches/3639c1c6-1f92-4836-9eeb-fd50ef398550/?format=json</t>
        </is>
      </c>
      <c r="P82" s="2" t="inlineStr">
        <is>
          <t>3639c1c6-1f92-4836-9eeb-fd50ef398550</t>
        </is>
      </c>
    </row>
    <row r="83">
      <c r="A83" s="2" t="n">
        <v>82</v>
      </c>
      <c r="B83" s="3" t="n">
        <v>46081</v>
      </c>
      <c r="C83" s="2" t="inlineStr">
        <is>
          <t>00:00</t>
        </is>
      </c>
      <c r="D83" s="2" t="n">
        <v>2026</v>
      </c>
      <c r="E83" s="4" t="inlineStr">
        <is>
          <t>That's Not A Knife (DART AE)</t>
        </is>
      </c>
      <c r="F83" s="7" t="inlineStr">
        <is>
          <t>successo</t>
        </is>
      </c>
      <c r="G83" s="2" t="inlineStr">
        <is>
          <t>Government/Top Secret</t>
        </is>
      </c>
      <c r="H83" s="2" t="inlineStr">
        <is>
          <t>Sub</t>
        </is>
      </c>
      <c r="I83" s="4" t="inlineStr">
        <is>
          <t>United States Departement of Defense</t>
        </is>
      </c>
      <c r="J83" s="2" t="inlineStr">
        <is>
          <t>Rocket Lab Launch Complex 2 (Launch Area 0 C)</t>
        </is>
      </c>
      <c r="K83" s="4" t="inlineStr">
        <is>
          <t>Wallops Flight Facility, Virginia, USA</t>
        </is>
      </c>
      <c r="L83" s="4" t="inlineStr">
        <is>
          <t>Payload is a scramjet-powered hypersonic vehicle developed by by Australian company Hypersonix.</t>
        </is>
      </c>
      <c r="M83" s="4" t="inlineStr"/>
      <c r="N83" s="6" t="inlineStr">
        <is>
          <t>https://www.youtube.com/watch?v=tQru-Ol7DWU</t>
        </is>
      </c>
      <c r="O83" s="6" t="inlineStr">
        <is>
          <t>https://ll.thespacedevs.com/2.3.0/launches/3785d31d-770f-4622-b7e4-a683dbd34c39/?format=json</t>
        </is>
      </c>
      <c r="P83" s="2" t="inlineStr">
        <is>
          <t>3785d31d-770f-4622-b7e4-a683dbd34c39</t>
        </is>
      </c>
    </row>
    <row r="84">
      <c r="A84" s="2" t="n">
        <v>83</v>
      </c>
      <c r="B84" s="3" t="n">
        <v>46086</v>
      </c>
      <c r="C84" s="2" t="inlineStr">
        <is>
          <t>23:53</t>
        </is>
      </c>
      <c r="D84" s="2" t="n">
        <v>2026</v>
      </c>
      <c r="E84" s="4" t="inlineStr">
        <is>
          <t>Insight At Speed Is A Friend Indeed (BlackSky Gen-3 4)</t>
        </is>
      </c>
      <c r="F84" s="7" t="inlineStr">
        <is>
          <t>successo</t>
        </is>
      </c>
      <c r="G84" s="2" t="inlineStr">
        <is>
          <t>Earth Science</t>
        </is>
      </c>
      <c r="H84" s="2" t="inlineStr">
        <is>
          <t>LEO</t>
        </is>
      </c>
      <c r="I84" s="4" t="inlineStr">
        <is>
          <t>BlackSky</t>
        </is>
      </c>
      <c r="J84" s="2" t="inlineStr">
        <is>
          <t>Rocket Lab Launch Complex 1A</t>
        </is>
      </c>
      <c r="K84" s="4" t="inlineStr">
        <is>
          <t>Rocket Lab Launch Complex 1, Mahia Peninsula, New Zealand</t>
        </is>
      </c>
      <c r="L84" s="4" t="inlineStr">
        <is>
          <t>Note: Payload and customer identities were not publicly announced. 4th of the BlackSky Gen-3 high resolution Earth-imaging satellites.</t>
        </is>
      </c>
      <c r="M84" s="4" t="inlineStr"/>
      <c r="N84" s="6" t="inlineStr">
        <is>
          <t>https://www.youtube.com/watch?v=VQhLu0hOB14</t>
        </is>
      </c>
      <c r="O84" s="6" t="inlineStr">
        <is>
          <t>https://ll.thespacedevs.com/2.3.0/launches/3de97847-11cd-40e3-ba7f-e16b276612de/?format=json</t>
        </is>
      </c>
      <c r="P84" s="2" t="inlineStr">
        <is>
          <t>3de97847-11cd-40e3-ba7f-e16b276612de</t>
        </is>
      </c>
    </row>
    <row r="85">
      <c r="A85" s="2" t="n">
        <v>84</v>
      </c>
      <c r="B85" s="3" t="n">
        <v>46101</v>
      </c>
      <c r="C85" s="2" t="inlineStr">
        <is>
          <t>18:10</t>
        </is>
      </c>
      <c r="D85" s="2" t="n">
        <v>2026</v>
      </c>
      <c r="E85" s="4" t="inlineStr">
        <is>
          <t>Eight Days A Week (StriX Launch 8)</t>
        </is>
      </c>
      <c r="F85" s="7" t="inlineStr">
        <is>
          <t>successo</t>
        </is>
      </c>
      <c r="G85" s="2" t="inlineStr">
        <is>
          <t>Earth Science</t>
        </is>
      </c>
      <c r="H85" s="2" t="inlineStr">
        <is>
          <t>LEO</t>
        </is>
      </c>
      <c r="I85" s="4" t="inlineStr">
        <is>
          <t>Synspective</t>
        </is>
      </c>
      <c r="J85" s="2" t="inlineStr">
        <is>
          <t>Rocket Lab Launch Complex 1B</t>
        </is>
      </c>
      <c r="K85" s="4" t="inlineStr">
        <is>
          <t>Rocket Lab Launch Complex 1, Mahia Peninsula, New Zealand</t>
        </is>
      </c>
      <c r="L85" s="4" t="inlineStr">
        <is>
          <t>Synthetic aperture radar satellite for Japanese Earth imaging company Synspective.</t>
        </is>
      </c>
      <c r="M85" s="4" t="inlineStr"/>
      <c r="N85" s="6" t="inlineStr">
        <is>
          <t>https://www.youtube.com/watch?v=WKE08UfCMYU</t>
        </is>
      </c>
      <c r="O85" s="6" t="inlineStr">
        <is>
          <t>https://ll.thespacedevs.com/2.3.0/launches/36dd2ab6-b454-40c5-8707-7d38c69cf226/?format=json</t>
        </is>
      </c>
      <c r="P85" s="2" t="inlineStr">
        <is>
          <t>36dd2ab6-b454-40c5-8707-7d38c69cf226</t>
        </is>
      </c>
    </row>
    <row r="86">
      <c r="A86" s="2" t="n">
        <v>85</v>
      </c>
      <c r="B86" s="3" t="n">
        <v>46109</v>
      </c>
      <c r="C86" s="2" t="inlineStr">
        <is>
          <t>09:14</t>
        </is>
      </c>
      <c r="D86" s="2" t="n">
        <v>2026</v>
      </c>
      <c r="E86" s="4" t="inlineStr">
        <is>
          <t>Daughter Of The Stars (LEO-PNT Pathfinder A)</t>
        </is>
      </c>
      <c r="F86" s="7" t="inlineStr">
        <is>
          <t>successo</t>
        </is>
      </c>
      <c r="G86" s="2" t="inlineStr">
        <is>
          <t>Navigation</t>
        </is>
      </c>
      <c r="H86" s="2" t="inlineStr">
        <is>
          <t>SSO</t>
        </is>
      </c>
      <c r="I86" s="4" t="inlineStr">
        <is>
          <t>European Space Agency</t>
        </is>
      </c>
      <c r="J86" s="2" t="inlineStr">
        <is>
          <t>Rocket Lab Launch Complex 1A</t>
        </is>
      </c>
      <c r="K86" s="4" t="inlineStr">
        <is>
          <t>Rocket Lab Launch Complex 1, Mahia Peninsula, New Zealand</t>
        </is>
      </c>
      <c r="L86" s="4" t="inlineStr">
        <is>
          <t>The European Space Agency (ESA)'s LEO-PNT (Low Earth Orbit Positioning, Navigation and Timing) demonstrator mission will feature a 10-satellite constellation demonstration mission that will assess how a low Earth orbit fleet of satellites can work in combination with the Galileo and EGNOS constellations in higher orbits that provide Europe’s own global navigation system. This launch will lift 2 “Pathfinder A” satellites built by Thales Alenia Space and GMV to a 510 km altitude Low Earth Orbit.</t>
        </is>
      </c>
      <c r="M86" s="4" t="inlineStr"/>
      <c r="N86" s="6" t="inlineStr">
        <is>
          <t>https://www.youtube.com/watch?v=bR1en0oGPRs</t>
        </is>
      </c>
      <c r="O86" s="6" t="inlineStr">
        <is>
          <t>https://ll.thespacedevs.com/2.3.0/launches/b0ca3e7a-650e-4af6-bdf9-658e6e114763/?format=json</t>
        </is>
      </c>
      <c r="P86" s="2" t="inlineStr">
        <is>
          <t>b0ca3e7a-650e-4af6-bdf9-658e6e114763</t>
        </is>
      </c>
    </row>
    <row r="87">
      <c r="A87" s="2" t="n">
        <v>86</v>
      </c>
      <c r="B87" s="3" t="n">
        <v>46134</v>
      </c>
      <c r="C87" s="2" t="inlineStr">
        <is>
          <t>01:36</t>
        </is>
      </c>
      <c r="D87" s="2" t="n">
        <v>2026</v>
      </c>
      <c r="E87" s="4" t="inlineStr">
        <is>
          <t>Bubbles</t>
        </is>
      </c>
      <c r="F87" s="7" t="inlineStr">
        <is>
          <t>successo</t>
        </is>
      </c>
      <c r="G87" s="2" t="inlineStr">
        <is>
          <t>Government/Top Secret</t>
        </is>
      </c>
      <c r="H87" s="2" t="inlineStr">
        <is>
          <t>Sub</t>
        </is>
      </c>
      <c r="I87" s="4" t="inlineStr"/>
      <c r="J87" s="2" t="inlineStr">
        <is>
          <t>Rocket Lab Launch Complex 2 (Launch Area 0 C)</t>
        </is>
      </c>
      <c r="K87" s="4" t="inlineStr">
        <is>
          <t>Wallops Flight Facility, Virginia, USA</t>
        </is>
      </c>
      <c r="L87" s="4" t="inlineStr">
        <is>
          <t>Sub-orbital launch under Rocket Lab’s Hypersonic Accelerator Suborbital Test Electron (HASTE) program, details TBD.</t>
        </is>
      </c>
      <c r="M87" s="4" t="inlineStr"/>
      <c r="N87" s="2" t="inlineStr"/>
      <c r="O87" s="6" t="inlineStr">
        <is>
          <t>https://ll.thespacedevs.com/2.3.0/launches/4e074623-426a-4ab2-8729-a85200684bef/?format=json</t>
        </is>
      </c>
      <c r="P87" s="2" t="inlineStr">
        <is>
          <t>4e074623-426a-4ab2-8729-a85200684bef</t>
        </is>
      </c>
    </row>
    <row r="88">
      <c r="A88" s="2" t="n">
        <v>87</v>
      </c>
      <c r="B88" s="3" t="n">
        <v>46135</v>
      </c>
      <c r="C88" s="2" t="inlineStr">
        <is>
          <t>03:09</t>
        </is>
      </c>
      <c r="D88" s="2" t="n">
        <v>2026</v>
      </c>
      <c r="E88" s="4" t="inlineStr">
        <is>
          <t>Kakushin Rising (JAXA Rideshare)</t>
        </is>
      </c>
      <c r="F88" s="7" t="inlineStr">
        <is>
          <t>successo</t>
        </is>
      </c>
      <c r="G88" s="2" t="inlineStr">
        <is>
          <t>Technology</t>
        </is>
      </c>
      <c r="H88" s="2" t="inlineStr">
        <is>
          <t>SSO</t>
        </is>
      </c>
      <c r="I88" s="4" t="inlineStr">
        <is>
          <t>Japan Aerospace Exploration Agency</t>
        </is>
      </c>
      <c r="J88" s="2" t="inlineStr">
        <is>
          <t>Rocket Lab Launch Complex 1A</t>
        </is>
      </c>
      <c r="K88" s="4" t="inlineStr">
        <is>
          <t>Rocket Lab Launch Complex 1, Mahia Peninsula, New Zealand</t>
        </is>
      </c>
      <c r="L88" s="4" t="inlineStr">
        <is>
          <t>JAXA-manifested rideshare of eight separate spacecraft that includes educational small sats, an ocean monitoring satellite, a demonstration satellite for ultra-small multispectral cameras, and a deployable antenna that can be packed tightly using origami folding techniques and unfurled to 25 times its size. The satellites were originally planned to launch with RAISE-4 on a Japanese Epsilon-S rocket, but the Epsilon-S was heavily delayed due to test firing failures. The 8 satellites are: * MAGNARO-II * KOSEN-2R * WASEDA-SAT-ZERO-II * FSI-SAT2 * OrigamiSat-2 * Mono-Nikko * ARICA-2 * PRELUDE</t>
        </is>
      </c>
      <c r="M88" s="4" t="inlineStr"/>
      <c r="N88" s="6" t="inlineStr">
        <is>
          <t>https://www.youtube.com/watch?v=R933NMzP1T0</t>
        </is>
      </c>
      <c r="O88" s="6" t="inlineStr">
        <is>
          <t>https://ll.thespacedevs.com/2.3.0/launches/9281afa8-140d-425b-a560-2fa59feef814/?format=json</t>
        </is>
      </c>
      <c r="P88" s="2" t="inlineStr">
        <is>
          <t>9281afa8-140d-425b-a560-2fa59feef814</t>
        </is>
      </c>
    </row>
    <row r="89">
      <c r="A89" s="2" t="n">
        <v>88</v>
      </c>
      <c r="B89" s="3" t="n">
        <v>46164</v>
      </c>
      <c r="C89" s="2" t="inlineStr">
        <is>
          <t>09:33</t>
        </is>
      </c>
      <c r="D89" s="2" t="n">
        <v>2026</v>
      </c>
      <c r="E89" s="4" t="inlineStr">
        <is>
          <t>Viva La StriX (StriX Launch 9)</t>
        </is>
      </c>
      <c r="F89" s="7" t="inlineStr">
        <is>
          <t>successo</t>
        </is>
      </c>
      <c r="G89" s="2" t="inlineStr">
        <is>
          <t>Earth Science</t>
        </is>
      </c>
      <c r="H89" s="2" t="inlineStr">
        <is>
          <t>LEO</t>
        </is>
      </c>
      <c r="I89" s="4" t="inlineStr">
        <is>
          <t>Synspective</t>
        </is>
      </c>
      <c r="J89" s="2" t="inlineStr">
        <is>
          <t>Rocket Lab Launch Complex 1B</t>
        </is>
      </c>
      <c r="K89" s="4" t="inlineStr">
        <is>
          <t>Rocket Lab Launch Complex 1, Mahia Peninsula, New Zealand</t>
        </is>
      </c>
      <c r="L89" s="4" t="inlineStr">
        <is>
          <t>Synthetic aperture radar satellite for Japanese Earth imaging company Synspective.</t>
        </is>
      </c>
      <c r="M89" s="4" t="inlineStr"/>
      <c r="N89" s="6" t="inlineStr">
        <is>
          <t>https://www.youtube.com/watch?v=oyrrCpLFU88</t>
        </is>
      </c>
      <c r="O89" s="6" t="inlineStr">
        <is>
          <t>https://ll.thespacedevs.com/2.3.0/launches/156a9e46-01b5-46f4-818e-ea563c71c5fe/?format=json</t>
        </is>
      </c>
      <c r="P89" s="2" t="inlineStr">
        <is>
          <t>156a9e46-01b5-46f4-818e-ea563c71c5fe</t>
        </is>
      </c>
    </row>
    <row r="90">
      <c r="A90" s="2" t="n">
        <v>89</v>
      </c>
      <c r="B90" s="3" t="n">
        <v>46184</v>
      </c>
      <c r="C90" s="2" t="inlineStr">
        <is>
          <t>08:00</t>
        </is>
      </c>
      <c r="D90" s="2" t="n">
        <v>2026</v>
      </c>
      <c r="E90" s="4" t="inlineStr">
        <is>
          <t>Curveball</t>
        </is>
      </c>
      <c r="F90" s="7" t="inlineStr">
        <is>
          <t>successo</t>
        </is>
      </c>
      <c r="G90" s="2" t="inlineStr">
        <is>
          <t>Government/Top Secret</t>
        </is>
      </c>
      <c r="H90" s="2" t="inlineStr">
        <is>
          <t>LEO</t>
        </is>
      </c>
      <c r="I90" s="4" t="inlineStr"/>
      <c r="J90" s="2" t="inlineStr">
        <is>
          <t>Rocket Lab Launch Complex 2 (Launch Area 0 C)</t>
        </is>
      </c>
      <c r="K90" s="4" t="inlineStr">
        <is>
          <t>Wallops Flight Facility, Virginia, USA</t>
        </is>
      </c>
      <c r="L90" s="4" t="inlineStr">
        <is>
          <t>Sub-orbital launch under Rocket Lab’s Hypersonic Accelerator Suborbital Test Electron (HASTE) program, details TBD. Note: Despite reported as a strictly sub-orbital launch program, this launch was cataloged by the USSF to have left 2 rocket stages in a 200 km, 40° very low Earth orbit by the US Space Force. The payload was not cataloged and may have been deliberately de-orbited.</t>
        </is>
      </c>
      <c r="M90" s="4" t="inlineStr"/>
      <c r="N90" s="2" t="inlineStr"/>
      <c r="O90" s="6" t="inlineStr">
        <is>
          <t>https://ll.thespacedevs.com/2.3.0/launches/e6cefffc-19a6-4a4b-a7f0-ebe907d5a6aa/?format=json</t>
        </is>
      </c>
      <c r="P90" s="2" t="inlineStr">
        <is>
          <t>e6cefffc-19a6-4a4b-a7f0-ebe907d5a6aa</t>
        </is>
      </c>
    </row>
    <row r="91">
      <c r="A91" s="2" t="n">
        <v>90</v>
      </c>
      <c r="B91" s="3" t="n">
        <v>46192</v>
      </c>
      <c r="C91" s="2" t="inlineStr">
        <is>
          <t>10:19</t>
        </is>
      </c>
      <c r="D91" s="2" t="n">
        <v>2026</v>
      </c>
      <c r="E91" s="4" t="inlineStr">
        <is>
          <t>VICTUS HAZE Puma</t>
        </is>
      </c>
      <c r="F91" s="7" t="inlineStr">
        <is>
          <t>successo</t>
        </is>
      </c>
      <c r="G91" s="2" t="inlineStr">
        <is>
          <t>Government/Top Secret</t>
        </is>
      </c>
      <c r="H91" s="2" t="inlineStr">
        <is>
          <t>LEO</t>
        </is>
      </c>
      <c r="I91" s="4" t="inlineStr"/>
      <c r="J91" s="2" t="inlineStr">
        <is>
          <t>Rocket Lab Launch Complex 1A</t>
        </is>
      </c>
      <c r="K91" s="4" t="inlineStr">
        <is>
          <t>Rocket Lab Launch Complex 1, Mahia Peninsula, New Zealand</t>
        </is>
      </c>
      <c r="L91" s="4" t="inlineStr">
        <is>
          <t>VICTUS HAZE will see Rocket Lab design, build, launch, and operate a rendezvous proximity operation (RPO) capable spacecraft. U.S. Space Force Space Systems Command (SSC)’s Space Safari’s VICTUS HAZE mission will be an exercise of a realistic threat-response scenario and on-orbit space domain awareness (SDA) demonstration. Once the spacecraft build is complete, Rocket Lab will be entered into a Hot Standby Phase awaiting further direction. Once the exercise begins, Rocket Lab will be given notice to launch the spacecraft into a target orbit. After reaching orbit, the spacecraft will be rapidly commissioned and readied for operations. Rocket Lab will configure a Pioneer class spacecraft bus to meet the unique requirements of the VICTUS HAZE mission. The mission will improve Tactically Responsive Space (TacRS) processes and timelines, demonstrating the ability to respond to on-orbit threats on very short timelines and validating techniques for space domain awareness (SDA) and on-orbit characterization. Rocket Lab’s constellation-class production capability and discriminating technical capabilities in the areas of in-space propulsion, precision attitude control, low latency communications, and autonomous operations are key enablers for this mission.</t>
        </is>
      </c>
      <c r="M91" s="4" t="inlineStr"/>
      <c r="N91" s="6" t="inlineStr">
        <is>
          <t>https://www.youtube.com/watch?v=jfFnNC0NG2Y</t>
        </is>
      </c>
      <c r="O91" s="6" t="inlineStr">
        <is>
          <t>https://ll.thespacedevs.com/2.3.0/launches/04154b70-045b-4e3a-bb5a-e5436091ba37/?format=json</t>
        </is>
      </c>
      <c r="P91" s="2" t="inlineStr">
        <is>
          <t>04154b70-045b-4e3a-bb5a-e5436091ba37</t>
        </is>
      </c>
    </row>
    <row r="92">
      <c r="A92" s="2" t="n">
        <v>91</v>
      </c>
      <c r="B92" s="3" t="n">
        <v>46199</v>
      </c>
      <c r="C92" s="2" t="inlineStr">
        <is>
          <t>17:43</t>
        </is>
      </c>
      <c r="D92" s="2" t="n">
        <v>2026</v>
      </c>
      <c r="E92" s="4" t="inlineStr">
        <is>
          <t>Ten Owl Of Ten (StriX Launch 10)</t>
        </is>
      </c>
      <c r="F92" s="7" t="inlineStr">
        <is>
          <t>successo</t>
        </is>
      </c>
      <c r="G92" s="2" t="inlineStr">
        <is>
          <t>Earth Science</t>
        </is>
      </c>
      <c r="H92" s="2" t="inlineStr">
        <is>
          <t>LEO</t>
        </is>
      </c>
      <c r="I92" s="4" t="inlineStr">
        <is>
          <t>Synspective</t>
        </is>
      </c>
      <c r="J92" s="2" t="inlineStr">
        <is>
          <t>Rocket Lab Launch Complex 1B</t>
        </is>
      </c>
      <c r="K92" s="4" t="inlineStr">
        <is>
          <t>Rocket Lab Launch Complex 1, Mahia Peninsula, New Zealand</t>
        </is>
      </c>
      <c r="L92" s="4" t="inlineStr">
        <is>
          <t>Synthetic aperture radar satellite for Japanese Earth imaging company Synspective.</t>
        </is>
      </c>
      <c r="M92" s="4" t="inlineStr"/>
      <c r="N92" s="6" t="inlineStr">
        <is>
          <t>https://www.youtube.com/watch?v=mD-rTeRXx8o</t>
        </is>
      </c>
      <c r="O92" s="6" t="inlineStr">
        <is>
          <t>https://ll.thespacedevs.com/2.3.0/launches/add0a5be-1cf0-49cb-975a-e8c8e18d37ec/?format=json</t>
        </is>
      </c>
      <c r="P92" s="2" t="inlineStr">
        <is>
          <t>add0a5be-1cf0-49cb-975a-e8c8e18d37ec</t>
        </is>
      </c>
    </row>
  </sheetData>
  <autoFilter ref="A1:P92"/>
  <hyperlinks>
    <hyperlink xmlns:r="http://schemas.openxmlformats.org/officeDocument/2006/relationships" ref="N2" r:id="rId1"/>
    <hyperlink xmlns:r="http://schemas.openxmlformats.org/officeDocument/2006/relationships" ref="O2" r:id="rId2"/>
    <hyperlink xmlns:r="http://schemas.openxmlformats.org/officeDocument/2006/relationships" ref="N3" r:id="rId3"/>
    <hyperlink xmlns:r="http://schemas.openxmlformats.org/officeDocument/2006/relationships" ref="O3" r:id="rId4"/>
    <hyperlink xmlns:r="http://schemas.openxmlformats.org/officeDocument/2006/relationships" ref="N4" r:id="rId5"/>
    <hyperlink xmlns:r="http://schemas.openxmlformats.org/officeDocument/2006/relationships" ref="O4" r:id="rId6"/>
    <hyperlink xmlns:r="http://schemas.openxmlformats.org/officeDocument/2006/relationships" ref="N5" r:id="rId7"/>
    <hyperlink xmlns:r="http://schemas.openxmlformats.org/officeDocument/2006/relationships" ref="O5" r:id="rId8"/>
    <hyperlink xmlns:r="http://schemas.openxmlformats.org/officeDocument/2006/relationships" ref="N6" r:id="rId9"/>
    <hyperlink xmlns:r="http://schemas.openxmlformats.org/officeDocument/2006/relationships" ref="O6" r:id="rId10"/>
    <hyperlink xmlns:r="http://schemas.openxmlformats.org/officeDocument/2006/relationships" ref="N7" r:id="rId11"/>
    <hyperlink xmlns:r="http://schemas.openxmlformats.org/officeDocument/2006/relationships" ref="O7" r:id="rId12"/>
    <hyperlink xmlns:r="http://schemas.openxmlformats.org/officeDocument/2006/relationships" ref="N8" r:id="rId13"/>
    <hyperlink xmlns:r="http://schemas.openxmlformats.org/officeDocument/2006/relationships" ref="O8" r:id="rId14"/>
    <hyperlink xmlns:r="http://schemas.openxmlformats.org/officeDocument/2006/relationships" ref="N9" r:id="rId15"/>
    <hyperlink xmlns:r="http://schemas.openxmlformats.org/officeDocument/2006/relationships" ref="O9" r:id="rId16"/>
    <hyperlink xmlns:r="http://schemas.openxmlformats.org/officeDocument/2006/relationships" ref="N10" r:id="rId17"/>
    <hyperlink xmlns:r="http://schemas.openxmlformats.org/officeDocument/2006/relationships" ref="O10" r:id="rId18"/>
    <hyperlink xmlns:r="http://schemas.openxmlformats.org/officeDocument/2006/relationships" ref="N11" r:id="rId19"/>
    <hyperlink xmlns:r="http://schemas.openxmlformats.org/officeDocument/2006/relationships" ref="O11" r:id="rId20"/>
    <hyperlink xmlns:r="http://schemas.openxmlformats.org/officeDocument/2006/relationships" ref="N12" r:id="rId21"/>
    <hyperlink xmlns:r="http://schemas.openxmlformats.org/officeDocument/2006/relationships" ref="O12" r:id="rId22"/>
    <hyperlink xmlns:r="http://schemas.openxmlformats.org/officeDocument/2006/relationships" ref="N13" r:id="rId23"/>
    <hyperlink xmlns:r="http://schemas.openxmlformats.org/officeDocument/2006/relationships" ref="O13" r:id="rId24"/>
    <hyperlink xmlns:r="http://schemas.openxmlformats.org/officeDocument/2006/relationships" ref="N14" r:id="rId25"/>
    <hyperlink xmlns:r="http://schemas.openxmlformats.org/officeDocument/2006/relationships" ref="O14" r:id="rId26"/>
    <hyperlink xmlns:r="http://schemas.openxmlformats.org/officeDocument/2006/relationships" ref="N15" r:id="rId27"/>
    <hyperlink xmlns:r="http://schemas.openxmlformats.org/officeDocument/2006/relationships" ref="O15" r:id="rId28"/>
    <hyperlink xmlns:r="http://schemas.openxmlformats.org/officeDocument/2006/relationships" ref="N16" r:id="rId29"/>
    <hyperlink xmlns:r="http://schemas.openxmlformats.org/officeDocument/2006/relationships" ref="O16" r:id="rId30"/>
    <hyperlink xmlns:r="http://schemas.openxmlformats.org/officeDocument/2006/relationships" ref="N17" r:id="rId31"/>
    <hyperlink xmlns:r="http://schemas.openxmlformats.org/officeDocument/2006/relationships" ref="O17" r:id="rId32"/>
    <hyperlink xmlns:r="http://schemas.openxmlformats.org/officeDocument/2006/relationships" ref="N18" r:id="rId33"/>
    <hyperlink xmlns:r="http://schemas.openxmlformats.org/officeDocument/2006/relationships" ref="O18" r:id="rId34"/>
    <hyperlink xmlns:r="http://schemas.openxmlformats.org/officeDocument/2006/relationships" ref="N19" r:id="rId35"/>
    <hyperlink xmlns:r="http://schemas.openxmlformats.org/officeDocument/2006/relationships" ref="O19" r:id="rId36"/>
    <hyperlink xmlns:r="http://schemas.openxmlformats.org/officeDocument/2006/relationships" ref="N20" r:id="rId37"/>
    <hyperlink xmlns:r="http://schemas.openxmlformats.org/officeDocument/2006/relationships" ref="O20" r:id="rId38"/>
    <hyperlink xmlns:r="http://schemas.openxmlformats.org/officeDocument/2006/relationships" ref="N21" r:id="rId39"/>
    <hyperlink xmlns:r="http://schemas.openxmlformats.org/officeDocument/2006/relationships" ref="O21" r:id="rId40"/>
    <hyperlink xmlns:r="http://schemas.openxmlformats.org/officeDocument/2006/relationships" ref="N22" r:id="rId41"/>
    <hyperlink xmlns:r="http://schemas.openxmlformats.org/officeDocument/2006/relationships" ref="O22" r:id="rId42"/>
    <hyperlink xmlns:r="http://schemas.openxmlformats.org/officeDocument/2006/relationships" ref="N23" r:id="rId43"/>
    <hyperlink xmlns:r="http://schemas.openxmlformats.org/officeDocument/2006/relationships" ref="O23" r:id="rId44"/>
    <hyperlink xmlns:r="http://schemas.openxmlformats.org/officeDocument/2006/relationships" ref="N24" r:id="rId45"/>
    <hyperlink xmlns:r="http://schemas.openxmlformats.org/officeDocument/2006/relationships" ref="O24" r:id="rId46"/>
    <hyperlink xmlns:r="http://schemas.openxmlformats.org/officeDocument/2006/relationships" ref="N25" r:id="rId47"/>
    <hyperlink xmlns:r="http://schemas.openxmlformats.org/officeDocument/2006/relationships" ref="O25" r:id="rId48"/>
    <hyperlink xmlns:r="http://schemas.openxmlformats.org/officeDocument/2006/relationships" ref="N26" r:id="rId49"/>
    <hyperlink xmlns:r="http://schemas.openxmlformats.org/officeDocument/2006/relationships" ref="O26" r:id="rId50"/>
    <hyperlink xmlns:r="http://schemas.openxmlformats.org/officeDocument/2006/relationships" ref="N27" r:id="rId51"/>
    <hyperlink xmlns:r="http://schemas.openxmlformats.org/officeDocument/2006/relationships" ref="O27" r:id="rId52"/>
    <hyperlink xmlns:r="http://schemas.openxmlformats.org/officeDocument/2006/relationships" ref="N28" r:id="rId53"/>
    <hyperlink xmlns:r="http://schemas.openxmlformats.org/officeDocument/2006/relationships" ref="O28" r:id="rId54"/>
    <hyperlink xmlns:r="http://schemas.openxmlformats.org/officeDocument/2006/relationships" ref="N29" r:id="rId55"/>
    <hyperlink xmlns:r="http://schemas.openxmlformats.org/officeDocument/2006/relationships" ref="O29" r:id="rId56"/>
    <hyperlink xmlns:r="http://schemas.openxmlformats.org/officeDocument/2006/relationships" ref="N30" r:id="rId57"/>
    <hyperlink xmlns:r="http://schemas.openxmlformats.org/officeDocument/2006/relationships" ref="O30" r:id="rId58"/>
    <hyperlink xmlns:r="http://schemas.openxmlformats.org/officeDocument/2006/relationships" ref="N31" r:id="rId59"/>
    <hyperlink xmlns:r="http://schemas.openxmlformats.org/officeDocument/2006/relationships" ref="O31" r:id="rId60"/>
    <hyperlink xmlns:r="http://schemas.openxmlformats.org/officeDocument/2006/relationships" ref="N32" r:id="rId61"/>
    <hyperlink xmlns:r="http://schemas.openxmlformats.org/officeDocument/2006/relationships" ref="O32" r:id="rId62"/>
    <hyperlink xmlns:r="http://schemas.openxmlformats.org/officeDocument/2006/relationships" ref="N33" r:id="rId63"/>
    <hyperlink xmlns:r="http://schemas.openxmlformats.org/officeDocument/2006/relationships" ref="O33" r:id="rId64"/>
    <hyperlink xmlns:r="http://schemas.openxmlformats.org/officeDocument/2006/relationships" ref="N34" r:id="rId65"/>
    <hyperlink xmlns:r="http://schemas.openxmlformats.org/officeDocument/2006/relationships" ref="O34" r:id="rId66"/>
    <hyperlink xmlns:r="http://schemas.openxmlformats.org/officeDocument/2006/relationships" ref="N35" r:id="rId67"/>
    <hyperlink xmlns:r="http://schemas.openxmlformats.org/officeDocument/2006/relationships" ref="O35" r:id="rId68"/>
    <hyperlink xmlns:r="http://schemas.openxmlformats.org/officeDocument/2006/relationships" ref="N36" r:id="rId69"/>
    <hyperlink xmlns:r="http://schemas.openxmlformats.org/officeDocument/2006/relationships" ref="O36" r:id="rId70"/>
    <hyperlink xmlns:r="http://schemas.openxmlformats.org/officeDocument/2006/relationships" ref="N37" r:id="rId71"/>
    <hyperlink xmlns:r="http://schemas.openxmlformats.org/officeDocument/2006/relationships" ref="O37" r:id="rId72"/>
    <hyperlink xmlns:r="http://schemas.openxmlformats.org/officeDocument/2006/relationships" ref="N38" r:id="rId73"/>
    <hyperlink xmlns:r="http://schemas.openxmlformats.org/officeDocument/2006/relationships" ref="O38" r:id="rId74"/>
    <hyperlink xmlns:r="http://schemas.openxmlformats.org/officeDocument/2006/relationships" ref="O39" r:id="rId75"/>
    <hyperlink xmlns:r="http://schemas.openxmlformats.org/officeDocument/2006/relationships" ref="N40" r:id="rId76"/>
    <hyperlink xmlns:r="http://schemas.openxmlformats.org/officeDocument/2006/relationships" ref="O40" r:id="rId77"/>
    <hyperlink xmlns:r="http://schemas.openxmlformats.org/officeDocument/2006/relationships" ref="N41" r:id="rId78"/>
    <hyperlink xmlns:r="http://schemas.openxmlformats.org/officeDocument/2006/relationships" ref="O41" r:id="rId79"/>
    <hyperlink xmlns:r="http://schemas.openxmlformats.org/officeDocument/2006/relationships" ref="N42" r:id="rId80"/>
    <hyperlink xmlns:r="http://schemas.openxmlformats.org/officeDocument/2006/relationships" ref="O42" r:id="rId81"/>
    <hyperlink xmlns:r="http://schemas.openxmlformats.org/officeDocument/2006/relationships" ref="N43" r:id="rId82"/>
    <hyperlink xmlns:r="http://schemas.openxmlformats.org/officeDocument/2006/relationships" ref="O43" r:id="rId83"/>
    <hyperlink xmlns:r="http://schemas.openxmlformats.org/officeDocument/2006/relationships" ref="N44" r:id="rId84"/>
    <hyperlink xmlns:r="http://schemas.openxmlformats.org/officeDocument/2006/relationships" ref="O44" r:id="rId85"/>
    <hyperlink xmlns:r="http://schemas.openxmlformats.org/officeDocument/2006/relationships" ref="N45" r:id="rId86"/>
    <hyperlink xmlns:r="http://schemas.openxmlformats.org/officeDocument/2006/relationships" ref="O45" r:id="rId87"/>
    <hyperlink xmlns:r="http://schemas.openxmlformats.org/officeDocument/2006/relationships" ref="N46" r:id="rId88"/>
    <hyperlink xmlns:r="http://schemas.openxmlformats.org/officeDocument/2006/relationships" ref="O46" r:id="rId89"/>
    <hyperlink xmlns:r="http://schemas.openxmlformats.org/officeDocument/2006/relationships" ref="N47" r:id="rId90"/>
    <hyperlink xmlns:r="http://schemas.openxmlformats.org/officeDocument/2006/relationships" ref="O47" r:id="rId91"/>
    <hyperlink xmlns:r="http://schemas.openxmlformats.org/officeDocument/2006/relationships" ref="N48" r:id="rId92"/>
    <hyperlink xmlns:r="http://schemas.openxmlformats.org/officeDocument/2006/relationships" ref="O48" r:id="rId93"/>
    <hyperlink xmlns:r="http://schemas.openxmlformats.org/officeDocument/2006/relationships" ref="N49" r:id="rId94"/>
    <hyperlink xmlns:r="http://schemas.openxmlformats.org/officeDocument/2006/relationships" ref="O49" r:id="rId95"/>
    <hyperlink xmlns:r="http://schemas.openxmlformats.org/officeDocument/2006/relationships" ref="N50" r:id="rId96"/>
    <hyperlink xmlns:r="http://schemas.openxmlformats.org/officeDocument/2006/relationships" ref="O50" r:id="rId97"/>
    <hyperlink xmlns:r="http://schemas.openxmlformats.org/officeDocument/2006/relationships" ref="N51" r:id="rId98"/>
    <hyperlink xmlns:r="http://schemas.openxmlformats.org/officeDocument/2006/relationships" ref="O51" r:id="rId99"/>
    <hyperlink xmlns:r="http://schemas.openxmlformats.org/officeDocument/2006/relationships" ref="N52" r:id="rId100"/>
    <hyperlink xmlns:r="http://schemas.openxmlformats.org/officeDocument/2006/relationships" ref="O52" r:id="rId101"/>
    <hyperlink xmlns:r="http://schemas.openxmlformats.org/officeDocument/2006/relationships" ref="N53" r:id="rId102"/>
    <hyperlink xmlns:r="http://schemas.openxmlformats.org/officeDocument/2006/relationships" ref="O53" r:id="rId103"/>
    <hyperlink xmlns:r="http://schemas.openxmlformats.org/officeDocument/2006/relationships" ref="N54" r:id="rId104"/>
    <hyperlink xmlns:r="http://schemas.openxmlformats.org/officeDocument/2006/relationships" ref="O54" r:id="rId105"/>
    <hyperlink xmlns:r="http://schemas.openxmlformats.org/officeDocument/2006/relationships" ref="N55" r:id="rId106"/>
    <hyperlink xmlns:r="http://schemas.openxmlformats.org/officeDocument/2006/relationships" ref="O55" r:id="rId107"/>
    <hyperlink xmlns:r="http://schemas.openxmlformats.org/officeDocument/2006/relationships" ref="N56" r:id="rId108"/>
    <hyperlink xmlns:r="http://schemas.openxmlformats.org/officeDocument/2006/relationships" ref="O56" r:id="rId109"/>
    <hyperlink xmlns:r="http://schemas.openxmlformats.org/officeDocument/2006/relationships" ref="N57" r:id="rId110"/>
    <hyperlink xmlns:r="http://schemas.openxmlformats.org/officeDocument/2006/relationships" ref="O57" r:id="rId111"/>
    <hyperlink xmlns:r="http://schemas.openxmlformats.org/officeDocument/2006/relationships" ref="O58" r:id="rId112"/>
    <hyperlink xmlns:r="http://schemas.openxmlformats.org/officeDocument/2006/relationships" ref="N59" r:id="rId113"/>
    <hyperlink xmlns:r="http://schemas.openxmlformats.org/officeDocument/2006/relationships" ref="O59" r:id="rId114"/>
    <hyperlink xmlns:r="http://schemas.openxmlformats.org/officeDocument/2006/relationships" ref="N60" r:id="rId115"/>
    <hyperlink xmlns:r="http://schemas.openxmlformats.org/officeDocument/2006/relationships" ref="O60" r:id="rId116"/>
    <hyperlink xmlns:r="http://schemas.openxmlformats.org/officeDocument/2006/relationships" ref="N61" r:id="rId117"/>
    <hyperlink xmlns:r="http://schemas.openxmlformats.org/officeDocument/2006/relationships" ref="O61" r:id="rId118"/>
    <hyperlink xmlns:r="http://schemas.openxmlformats.org/officeDocument/2006/relationships" ref="N62" r:id="rId119"/>
    <hyperlink xmlns:r="http://schemas.openxmlformats.org/officeDocument/2006/relationships" ref="O62" r:id="rId120"/>
    <hyperlink xmlns:r="http://schemas.openxmlformats.org/officeDocument/2006/relationships" ref="N63" r:id="rId121"/>
    <hyperlink xmlns:r="http://schemas.openxmlformats.org/officeDocument/2006/relationships" ref="O63" r:id="rId122"/>
    <hyperlink xmlns:r="http://schemas.openxmlformats.org/officeDocument/2006/relationships" ref="N64" r:id="rId123"/>
    <hyperlink xmlns:r="http://schemas.openxmlformats.org/officeDocument/2006/relationships" ref="O64" r:id="rId124"/>
    <hyperlink xmlns:r="http://schemas.openxmlformats.org/officeDocument/2006/relationships" ref="N65" r:id="rId125"/>
    <hyperlink xmlns:r="http://schemas.openxmlformats.org/officeDocument/2006/relationships" ref="O65" r:id="rId126"/>
    <hyperlink xmlns:r="http://schemas.openxmlformats.org/officeDocument/2006/relationships" ref="N66" r:id="rId127"/>
    <hyperlink xmlns:r="http://schemas.openxmlformats.org/officeDocument/2006/relationships" ref="O66" r:id="rId128"/>
    <hyperlink xmlns:r="http://schemas.openxmlformats.org/officeDocument/2006/relationships" ref="N67" r:id="rId129"/>
    <hyperlink xmlns:r="http://schemas.openxmlformats.org/officeDocument/2006/relationships" ref="O67" r:id="rId130"/>
    <hyperlink xmlns:r="http://schemas.openxmlformats.org/officeDocument/2006/relationships" ref="N68" r:id="rId131"/>
    <hyperlink xmlns:r="http://schemas.openxmlformats.org/officeDocument/2006/relationships" ref="O68" r:id="rId132"/>
    <hyperlink xmlns:r="http://schemas.openxmlformats.org/officeDocument/2006/relationships" ref="N69" r:id="rId133"/>
    <hyperlink xmlns:r="http://schemas.openxmlformats.org/officeDocument/2006/relationships" ref="O69" r:id="rId134"/>
    <hyperlink xmlns:r="http://schemas.openxmlformats.org/officeDocument/2006/relationships" ref="N70" r:id="rId135"/>
    <hyperlink xmlns:r="http://schemas.openxmlformats.org/officeDocument/2006/relationships" ref="O70" r:id="rId136"/>
    <hyperlink xmlns:r="http://schemas.openxmlformats.org/officeDocument/2006/relationships" ref="N71" r:id="rId137"/>
    <hyperlink xmlns:r="http://schemas.openxmlformats.org/officeDocument/2006/relationships" ref="O71" r:id="rId138"/>
    <hyperlink xmlns:r="http://schemas.openxmlformats.org/officeDocument/2006/relationships" ref="O72" r:id="rId139"/>
    <hyperlink xmlns:r="http://schemas.openxmlformats.org/officeDocument/2006/relationships" ref="O73" r:id="rId140"/>
    <hyperlink xmlns:r="http://schemas.openxmlformats.org/officeDocument/2006/relationships" ref="N74" r:id="rId141"/>
    <hyperlink xmlns:r="http://schemas.openxmlformats.org/officeDocument/2006/relationships" ref="O74" r:id="rId142"/>
    <hyperlink xmlns:r="http://schemas.openxmlformats.org/officeDocument/2006/relationships" ref="N75" r:id="rId143"/>
    <hyperlink xmlns:r="http://schemas.openxmlformats.org/officeDocument/2006/relationships" ref="O75" r:id="rId144"/>
    <hyperlink xmlns:r="http://schemas.openxmlformats.org/officeDocument/2006/relationships" ref="N76" r:id="rId145"/>
    <hyperlink xmlns:r="http://schemas.openxmlformats.org/officeDocument/2006/relationships" ref="O76" r:id="rId146"/>
    <hyperlink xmlns:r="http://schemas.openxmlformats.org/officeDocument/2006/relationships" ref="N77" r:id="rId147"/>
    <hyperlink xmlns:r="http://schemas.openxmlformats.org/officeDocument/2006/relationships" ref="O77" r:id="rId148"/>
    <hyperlink xmlns:r="http://schemas.openxmlformats.org/officeDocument/2006/relationships" ref="N78" r:id="rId149"/>
    <hyperlink xmlns:r="http://schemas.openxmlformats.org/officeDocument/2006/relationships" ref="O78" r:id="rId150"/>
    <hyperlink xmlns:r="http://schemas.openxmlformats.org/officeDocument/2006/relationships" ref="N79" r:id="rId151"/>
    <hyperlink xmlns:r="http://schemas.openxmlformats.org/officeDocument/2006/relationships" ref="O79" r:id="rId152"/>
    <hyperlink xmlns:r="http://schemas.openxmlformats.org/officeDocument/2006/relationships" ref="N80" r:id="rId153"/>
    <hyperlink xmlns:r="http://schemas.openxmlformats.org/officeDocument/2006/relationships" ref="O80" r:id="rId154"/>
    <hyperlink xmlns:r="http://schemas.openxmlformats.org/officeDocument/2006/relationships" ref="N81" r:id="rId155"/>
    <hyperlink xmlns:r="http://schemas.openxmlformats.org/officeDocument/2006/relationships" ref="O81" r:id="rId156"/>
    <hyperlink xmlns:r="http://schemas.openxmlformats.org/officeDocument/2006/relationships" ref="N82" r:id="rId157"/>
    <hyperlink xmlns:r="http://schemas.openxmlformats.org/officeDocument/2006/relationships" ref="O82" r:id="rId158"/>
    <hyperlink xmlns:r="http://schemas.openxmlformats.org/officeDocument/2006/relationships" ref="N83" r:id="rId159"/>
    <hyperlink xmlns:r="http://schemas.openxmlformats.org/officeDocument/2006/relationships" ref="O83" r:id="rId160"/>
    <hyperlink xmlns:r="http://schemas.openxmlformats.org/officeDocument/2006/relationships" ref="N84" r:id="rId161"/>
    <hyperlink xmlns:r="http://schemas.openxmlformats.org/officeDocument/2006/relationships" ref="O84" r:id="rId162"/>
    <hyperlink xmlns:r="http://schemas.openxmlformats.org/officeDocument/2006/relationships" ref="N85" r:id="rId163"/>
    <hyperlink xmlns:r="http://schemas.openxmlformats.org/officeDocument/2006/relationships" ref="O85" r:id="rId164"/>
    <hyperlink xmlns:r="http://schemas.openxmlformats.org/officeDocument/2006/relationships" ref="N86" r:id="rId165"/>
    <hyperlink xmlns:r="http://schemas.openxmlformats.org/officeDocument/2006/relationships" ref="O86" r:id="rId166"/>
    <hyperlink xmlns:r="http://schemas.openxmlformats.org/officeDocument/2006/relationships" ref="O87" r:id="rId167"/>
    <hyperlink xmlns:r="http://schemas.openxmlformats.org/officeDocument/2006/relationships" ref="N88" r:id="rId168"/>
    <hyperlink xmlns:r="http://schemas.openxmlformats.org/officeDocument/2006/relationships" ref="O88" r:id="rId169"/>
    <hyperlink xmlns:r="http://schemas.openxmlformats.org/officeDocument/2006/relationships" ref="N89" r:id="rId170"/>
    <hyperlink xmlns:r="http://schemas.openxmlformats.org/officeDocument/2006/relationships" ref="O89" r:id="rId171"/>
    <hyperlink xmlns:r="http://schemas.openxmlformats.org/officeDocument/2006/relationships" ref="O90" r:id="rId172"/>
    <hyperlink xmlns:r="http://schemas.openxmlformats.org/officeDocument/2006/relationships" ref="N91" r:id="rId173"/>
    <hyperlink xmlns:r="http://schemas.openxmlformats.org/officeDocument/2006/relationships" ref="O91" r:id="rId174"/>
    <hyperlink xmlns:r="http://schemas.openxmlformats.org/officeDocument/2006/relationships" ref="N92" r:id="rId175"/>
    <hyperlink xmlns:r="http://schemas.openxmlformats.org/officeDocument/2006/relationships" ref="O92" r:id="rId176"/>
  </hyperlinks>
  <pageMargins left="0.75" right="0.75" top="1" bottom="1" header="0.5" footer="0.5"/>
  <tableParts count="1">
    <tablePart xmlns:r="http://schemas.openxmlformats.org/officeDocument/2006/relationships" r:id="rId177"/>
  </tableParts>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4" customHeight="1">
      <c r="A1" s="8" t="inlineStr">
        <is>
          <t>ROCKET LAB · STORICO LANCI ELECTRON</t>
        </is>
      </c>
    </row>
    <row r="2" ht="23" customHeight="1">
      <c r="A2" s="9" t="inlineStr">
        <is>
          <t>Dati aggiornati al 24/07/2026 12:03 · Fonte: The Space Devs / Launch Library 2</t>
        </is>
      </c>
    </row>
    <row r="4">
      <c r="A4" s="10" t="inlineStr">
        <is>
          <t>Lanci</t>
        </is>
      </c>
      <c r="C4" s="10" t="inlineStr">
        <is>
          <t>Successi</t>
        </is>
      </c>
      <c r="E4" s="10" t="inlineStr">
        <is>
          <t>Fallimenti</t>
        </is>
      </c>
      <c r="G4" s="10" t="inlineStr">
        <is>
          <t>Tasso di successo</t>
        </is>
      </c>
    </row>
    <row r="5">
      <c r="A5" s="11" t="n">
        <v>91</v>
      </c>
      <c r="C5" s="11" t="n">
        <v>87</v>
      </c>
      <c r="E5" s="11" t="n">
        <v>4</v>
      </c>
      <c r="G5" s="12" t="n">
        <v>0.9560439560439561</v>
      </c>
    </row>
    <row r="7">
      <c r="A7" s="10" t="inlineStr">
        <is>
          <t>Primo lancio</t>
        </is>
      </c>
      <c r="C7" s="10" t="inlineStr">
        <is>
          <t>Ultimo lancio</t>
        </is>
      </c>
      <c r="E7" s="10" t="inlineStr">
        <is>
          <t>Lanci nel 2026</t>
        </is>
      </c>
      <c r="G7" s="10" t="inlineStr">
        <is>
          <t>Pad utilizzati</t>
        </is>
      </c>
    </row>
    <row r="8">
      <c r="A8" s="13" t="n">
        <v>42880</v>
      </c>
      <c r="C8" s="13" t="n">
        <v>46199</v>
      </c>
      <c r="E8" s="11" t="n">
        <v>12</v>
      </c>
      <c r="G8" s="11" t="n">
        <v>3</v>
      </c>
    </row>
    <row r="11">
      <c r="A11" s="14" t="inlineStr">
        <is>
          <t>Ultima missione</t>
        </is>
      </c>
      <c r="C11" s="15" t="inlineStr">
        <is>
          <t>#91 · Ten Owl Of Ten (StriX Launch 10) · 26/06/2026</t>
        </is>
      </c>
    </row>
    <row r="13">
      <c r="A13" t="inlineStr">
        <is>
          <t>Fonte dati</t>
        </is>
      </c>
      <c r="B13" s="6" t="inlineStr">
        <is>
          <t>https://ll.thespacedevs.com/2.3.0/launches/previous/</t>
        </is>
      </c>
    </row>
  </sheetData>
  <mergeCells count="20">
    <mergeCell ref="A11:B11"/>
    <mergeCell ref="C5:D5"/>
    <mergeCell ref="E5:F5"/>
    <mergeCell ref="G8:H8"/>
    <mergeCell ref="E8:F8"/>
    <mergeCell ref="C4:D4"/>
    <mergeCell ref="E4:F4"/>
    <mergeCell ref="A7:B7"/>
    <mergeCell ref="G7:H7"/>
    <mergeCell ref="A1:J1"/>
    <mergeCell ref="C11:J11"/>
    <mergeCell ref="A5:B5"/>
    <mergeCell ref="G5:H5"/>
    <mergeCell ref="A8:B8"/>
    <mergeCell ref="C8:D8"/>
    <mergeCell ref="A4:B4"/>
    <mergeCell ref="G4:H4"/>
    <mergeCell ref="C7:D7"/>
    <mergeCell ref="E7:F7"/>
    <mergeCell ref="A2:J2"/>
  </mergeCells>
  <hyperlinks>
    <hyperlink xmlns:r="http://schemas.openxmlformats.org/officeDocument/2006/relationships" ref="B13"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2" customWidth="1" min="1" max="1"/>
    <col width="12" customWidth="1" min="2" max="2"/>
    <col width="12" customWidth="1" min="3" max="3"/>
    <col width="14" customWidth="1" min="4" max="4"/>
    <col width="18" customWidth="1" min="5" max="5"/>
  </cols>
  <sheetData>
    <row r="1" ht="34" customHeight="1">
      <c r="A1" s="8" t="inlineStr">
        <is>
          <t>LANCI ELECTRON PER ANNO</t>
        </is>
      </c>
    </row>
    <row r="2" ht="23" customHeight="1">
      <c r="A2" s="9" t="inlineStr">
        <is>
          <t>Successi, fallimenti e tasso di successo</t>
        </is>
      </c>
    </row>
    <row r="4" ht="30" customHeight="1">
      <c r="A4" s="1" t="inlineStr">
        <is>
          <t>anno</t>
        </is>
      </c>
      <c r="B4" s="1" t="inlineStr">
        <is>
          <t>lanci</t>
        </is>
      </c>
      <c r="C4" s="1" t="inlineStr">
        <is>
          <t>successi</t>
        </is>
      </c>
      <c r="D4" s="1" t="inlineStr">
        <is>
          <t>fallimenti</t>
        </is>
      </c>
      <c r="E4" s="1" t="inlineStr">
        <is>
          <t>tasso successo</t>
        </is>
      </c>
    </row>
    <row r="5">
      <c r="A5" t="n">
        <v>2017</v>
      </c>
      <c r="B5" t="n">
        <v>1</v>
      </c>
      <c r="C5" t="n">
        <v>0</v>
      </c>
      <c r="D5" t="n">
        <v>1</v>
      </c>
      <c r="E5" s="16" t="n">
        <v>0</v>
      </c>
    </row>
    <row r="6">
      <c r="A6" t="n">
        <v>2018</v>
      </c>
      <c r="B6" t="n">
        <v>3</v>
      </c>
      <c r="C6" t="n">
        <v>3</v>
      </c>
      <c r="D6" t="n">
        <v>0</v>
      </c>
      <c r="E6" s="16" t="n">
        <v>1</v>
      </c>
    </row>
    <row r="7">
      <c r="A7" t="n">
        <v>2019</v>
      </c>
      <c r="B7" t="n">
        <v>6</v>
      </c>
      <c r="C7" t="n">
        <v>6</v>
      </c>
      <c r="D7" t="n">
        <v>0</v>
      </c>
      <c r="E7" s="16" t="n">
        <v>1</v>
      </c>
    </row>
    <row r="8">
      <c r="A8" t="n">
        <v>2020</v>
      </c>
      <c r="B8" t="n">
        <v>7</v>
      </c>
      <c r="C8" t="n">
        <v>6</v>
      </c>
      <c r="D8" t="n">
        <v>1</v>
      </c>
      <c r="E8" s="16" t="n">
        <v>0.8571428571428571</v>
      </c>
    </row>
    <row r="9">
      <c r="A9" t="n">
        <v>2021</v>
      </c>
      <c r="B9" t="n">
        <v>6</v>
      </c>
      <c r="C9" t="n">
        <v>5</v>
      </c>
      <c r="D9" t="n">
        <v>1</v>
      </c>
      <c r="E9" s="16" t="n">
        <v>0.8333333333333334</v>
      </c>
    </row>
    <row r="10">
      <c r="A10" t="n">
        <v>2022</v>
      </c>
      <c r="B10" t="n">
        <v>9</v>
      </c>
      <c r="C10" t="n">
        <v>9</v>
      </c>
      <c r="D10" t="n">
        <v>0</v>
      </c>
      <c r="E10" s="16" t="n">
        <v>1</v>
      </c>
    </row>
    <row r="11">
      <c r="A11" t="n">
        <v>2023</v>
      </c>
      <c r="B11" t="n">
        <v>10</v>
      </c>
      <c r="C11" t="n">
        <v>9</v>
      </c>
      <c r="D11" t="n">
        <v>1</v>
      </c>
      <c r="E11" s="16" t="n">
        <v>0.9</v>
      </c>
    </row>
    <row r="12">
      <c r="A12" t="n">
        <v>2024</v>
      </c>
      <c r="B12" t="n">
        <v>16</v>
      </c>
      <c r="C12" t="n">
        <v>16</v>
      </c>
      <c r="D12" t="n">
        <v>0</v>
      </c>
      <c r="E12" s="16" t="n">
        <v>1</v>
      </c>
    </row>
    <row r="13">
      <c r="A13" t="n">
        <v>2025</v>
      </c>
      <c r="B13" t="n">
        <v>21</v>
      </c>
      <c r="C13" t="n">
        <v>21</v>
      </c>
      <c r="D13" t="n">
        <v>0</v>
      </c>
      <c r="E13" s="16" t="n">
        <v>1</v>
      </c>
    </row>
    <row r="14">
      <c r="A14" t="n">
        <v>2026</v>
      </c>
      <c r="B14" t="n">
        <v>12</v>
      </c>
      <c r="C14" t="n">
        <v>12</v>
      </c>
      <c r="D14" t="n">
        <v>0</v>
      </c>
      <c r="E14" s="16" t="n">
        <v>1</v>
      </c>
    </row>
  </sheetData>
  <mergeCells count="2">
    <mergeCell ref="A2:E2"/>
    <mergeCell ref="A1:E1"/>
  </mergeCell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4" customHeight="1">
      <c r="A1" s="8" t="inlineStr">
        <is>
          <t>LANCI ELECTRON PER PAD</t>
        </is>
      </c>
    </row>
    <row r="2" ht="23" customHeight="1">
      <c r="A2" s="9" t="inlineStr">
        <is>
          <t>Distribuzione dei lanci completati</t>
        </is>
      </c>
    </row>
    <row r="4" ht="30" customHeight="1">
      <c r="A4" s="1" t="inlineStr">
        <is>
          <t>pad</t>
        </is>
      </c>
      <c r="B4" s="1" t="inlineStr">
        <is>
          <t>lanci</t>
        </is>
      </c>
      <c r="C4" s="1" t="inlineStr">
        <is>
          <t>quota</t>
        </is>
      </c>
      <c r="D4" s="1" t="inlineStr">
        <is>
          <t>ultimo utilizzo</t>
        </is>
      </c>
    </row>
    <row r="5">
      <c r="A5" t="inlineStr">
        <is>
          <t>Rocket Lab Launch Complex 1A</t>
        </is>
      </c>
      <c r="B5" t="n">
        <v>41</v>
      </c>
      <c r="C5" s="16" t="n">
        <v>0.4505494505494506</v>
      </c>
      <c r="D5" s="17" t="n">
        <v>46192</v>
      </c>
    </row>
    <row r="6">
      <c r="A6" t="inlineStr">
        <is>
          <t>Rocket Lab Launch Complex 1B</t>
        </is>
      </c>
      <c r="B6" t="n">
        <v>37</v>
      </c>
      <c r="C6" s="16" t="n">
        <v>0.4065934065934066</v>
      </c>
      <c r="D6" s="17" t="n">
        <v>46199</v>
      </c>
    </row>
    <row r="7">
      <c r="A7" t="inlineStr">
        <is>
          <t>Rocket Lab Launch Complex 2 (Launch Area 0 C)</t>
        </is>
      </c>
      <c r="B7" t="n">
        <v>13</v>
      </c>
      <c r="C7" s="16" t="n">
        <v>0.1428571428571428</v>
      </c>
      <c r="D7" s="17" t="n">
        <v>46184</v>
      </c>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4" customWidth="1" min="1" max="1"/>
    <col width="14" customWidth="1" min="2" max="2"/>
    <col width="14" customWidth="1" min="3" max="3"/>
  </cols>
  <sheetData>
    <row r="1" ht="34" customHeight="1">
      <c r="A1" s="8" t="inlineStr">
        <is>
          <t>LANCI ELECTRON PER ORBITA</t>
        </is>
      </c>
    </row>
    <row r="2" ht="23" customHeight="1">
      <c r="A2" s="9" t="inlineStr">
        <is>
          <t>Classificazione orbitale indicata da Launch Library 2</t>
        </is>
      </c>
    </row>
    <row r="4" ht="30" customHeight="1">
      <c r="A4" s="1" t="inlineStr">
        <is>
          <t>orbita</t>
        </is>
      </c>
      <c r="B4" s="1" t="inlineStr">
        <is>
          <t>lanci</t>
        </is>
      </c>
      <c r="C4" s="1" t="inlineStr">
        <is>
          <t>quota</t>
        </is>
      </c>
    </row>
    <row r="5">
      <c r="A5" t="inlineStr">
        <is>
          <t>LEO</t>
        </is>
      </c>
      <c r="B5" t="n">
        <v>47</v>
      </c>
      <c r="C5" s="16" t="n">
        <v>0.5164835164835165</v>
      </c>
    </row>
    <row r="6">
      <c r="A6" t="inlineStr">
        <is>
          <t>SSO</t>
        </is>
      </c>
      <c r="B6" t="n">
        <v>31</v>
      </c>
      <c r="C6" s="16" t="n">
        <v>0.3406593406593407</v>
      </c>
    </row>
    <row r="7">
      <c r="A7" t="inlineStr">
        <is>
          <t>Sub</t>
        </is>
      </c>
      <c r="B7" t="n">
        <v>8</v>
      </c>
      <c r="C7" s="16" t="n">
        <v>0.08791208791208792</v>
      </c>
    </row>
    <row r="8">
      <c r="A8" t="inlineStr">
        <is>
          <t>PO</t>
        </is>
      </c>
      <c r="B8" t="n">
        <v>4</v>
      </c>
      <c r="C8" s="16" t="n">
        <v>0.04395604395604396</v>
      </c>
    </row>
    <row r="9">
      <c r="A9" t="inlineStr">
        <is>
          <t>LO</t>
        </is>
      </c>
      <c r="B9" t="n">
        <v>1</v>
      </c>
      <c r="C9" s="16" t="n">
        <v>0.01098901098901099</v>
      </c>
    </row>
  </sheetData>
  <mergeCells count="2">
    <mergeCell ref="A1:C1"/>
    <mergeCell ref="A2:C2"/>
  </mergeCell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2" customWidth="1" min="1" max="1"/>
    <col width="24" customWidth="1" min="2" max="2"/>
    <col width="24" customWidth="1" min="3" max="3"/>
    <col width="24" customWidth="1" min="4" max="4"/>
    <col width="24" customWidth="1" min="5" max="5"/>
  </cols>
  <sheetData>
    <row r="1" ht="34" customHeight="1">
      <c r="A1" s="8" t="inlineStr">
        <is>
          <t>LEGENDA E FONTI</t>
        </is>
      </c>
    </row>
    <row r="2" ht="23" customHeight="1">
      <c r="A2" s="9" t="inlineStr">
        <is>
          <t>Note metodologiche del workbook Electron</t>
        </is>
      </c>
    </row>
    <row r="4">
      <c r="A4" s="18" t="inlineStr">
        <is>
          <t>Perimetro</t>
        </is>
      </c>
      <c r="B4" s="4" t="inlineStr">
        <is>
          <t>Tutti i lanci completati con configurazione del lanciatore Electron.</t>
        </is>
      </c>
    </row>
    <row r="5">
      <c r="A5" s="18" t="inlineStr">
        <is>
          <t>Fonte primaria</t>
        </is>
      </c>
      <c r="B5" s="6" t="inlineStr">
        <is>
          <t>The Space Devs / Launch Library 2 API.</t>
        </is>
      </c>
    </row>
    <row r="6">
      <c r="A6" s="18" t="inlineStr">
        <is>
          <t>Filtro API</t>
        </is>
      </c>
      <c r="B6" s="4" t="inlineStr">
        <is>
          <t>rocket__configuration__name=Electron sull'endpoint launches/previous.</t>
        </is>
      </c>
    </row>
    <row r="7">
      <c r="A7" s="18" t="inlineStr">
        <is>
          <t>Data e ora</t>
        </is>
      </c>
      <c r="B7" s="4" t="inlineStr">
        <is>
          <t>Data del T-0 in UTC; nel foglio elenco la data e l'ora UTC sono separate.</t>
        </is>
      </c>
    </row>
    <row r="8">
      <c r="A8" s="18" t="inlineStr">
        <is>
          <t>Successo</t>
        </is>
      </c>
      <c r="B8" s="4" t="inlineStr">
        <is>
          <t>Status Launch Successful nella fonte.</t>
        </is>
      </c>
    </row>
    <row r="9">
      <c r="A9" s="18" t="inlineStr">
        <is>
          <t>Fallimento</t>
        </is>
      </c>
      <c r="B9" s="4" t="inlineStr">
        <is>
          <t>Status Launch Failure nella fonte.</t>
        </is>
      </c>
    </row>
    <row r="10">
      <c r="A10" s="18" t="inlineStr">
        <is>
          <t>Aggiornamento</t>
        </is>
      </c>
      <c r="B10" s="4" t="inlineStr">
        <is>
          <t>Eseguire crea_workbook_storico_electron.py per rigenerare il file.</t>
        </is>
      </c>
    </row>
  </sheetData>
  <mergeCells count="9">
    <mergeCell ref="B9:E9"/>
    <mergeCell ref="B8:E8"/>
    <mergeCell ref="B4:E4"/>
    <mergeCell ref="A2:E2"/>
    <mergeCell ref="B6:E6"/>
    <mergeCell ref="B7:E7"/>
    <mergeCell ref="A1:E1"/>
    <mergeCell ref="B5:E5"/>
    <mergeCell ref="B10:E10"/>
  </mergeCells>
  <hyperlinks>
    <hyperlink xmlns:r="http://schemas.openxmlformats.org/officeDocument/2006/relationships" ref="B5"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Rivoluzione Spaziale</dc:creator>
  <dc:title xmlns:dc="http://purl.org/dc/elements/1.1/">Storico lanci Electron - Rocket Lab</dc:title>
  <dc:subject xmlns:dc="http://purl.org/dc/elements/1.1/">Riepilogo dei lanci Electron</dc:subject>
  <dcterms:created xmlns:dcterms="http://purl.org/dc/terms/" xmlns:xsi="http://www.w3.org/2001/XMLSchema-instance" xsi:type="dcterms:W3CDTF">2026-07-24T10:03:59Z</dcterms:created>
  <dcterms:modified xmlns:dcterms="http://purl.org/dc/terms/" xmlns:xsi="http://www.w3.org/2001/XMLSchema-instance" xsi:type="dcterms:W3CDTF">2026-07-24T10:03:59Z</dcterms:modified>
</cp:coreProperties>
</file>